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c55a52a2f54cc4" /></Relationships>
</file>

<file path=xl/workbook.xml><?xml version="1.0" encoding="utf-8"?>
<x:workbook xmlns:x="http://schemas.openxmlformats.org/spreadsheetml/2006/main">
  <x:sheets>
    <x:sheet xmlns:r="http://schemas.openxmlformats.org/officeDocument/2006/relationships" name="Synthèse" sheetId="1" r:id="R21a47f10c5224ae8"/>
    <x:sheet xmlns:r="http://schemas.openxmlformats.org/officeDocument/2006/relationships" name="40 écrans" sheetId="2" r:id="Rc2a442969f174d8a"/>
    <x:sheet xmlns:r="http://schemas.openxmlformats.org/officeDocument/2006/relationships" name="Actions" sheetId="3" r:id="Rba7797ad8e4d467a"/>
    <x:sheet xmlns:r="http://schemas.openxmlformats.org/officeDocument/2006/relationships" name="Conservation" sheetId="4" r:id="R63d5758042cf4ee0"/>
    <x:sheet xmlns:r="http://schemas.openxmlformats.org/officeDocument/2006/relationships" name="Vérifications" sheetId="5" r:id="Rd510335fb945493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
  </x:numFmts>
  <x:fonts count="9">
    <x:font>
      <x:sz val="11"/>
      <x:name val="Carlito"/>
    </x:font>
    <x:font>
      <x:sz val="10"/>
      <x:color rgb="FF17243A"/>
      <x:name val="Arial"/>
    </x:font>
    <x:font>
      <x:b/>
      <x:sz val="16"/>
      <x:color rgb="FF17243A"/>
      <x:name val="Arial"/>
    </x:font>
    <x:font>
      <x:i/>
      <x:sz val="10"/>
      <x:color rgb="FF5D6878"/>
      <x:name val="Arial"/>
    </x:font>
    <x:font>
      <x:b/>
      <x:sz val="10"/>
      <x:color rgb="FFFFFFFF"/>
      <x:name val="Arial"/>
    </x:font>
    <x:font>
      <x:sz val="10"/>
      <x:color rgb="FF245C9E"/>
      <x:name val="Arial"/>
    </x:font>
    <x:font>
      <x:b/>
      <x:sz val="12"/>
      <x:color rgb="FF17243A"/>
      <x:name val="Arial"/>
    </x:font>
    <x:font>
      <x:b/>
      <x:sz val="10"/>
      <x:color rgb="FF17243A"/>
      <x:name val="Arial"/>
    </x:font>
    <x:font>
      <x:sz val="10"/>
      <x:color rgb="FF5D6878"/>
      <x:name val="Arial"/>
    </x:font>
  </x:fonts>
  <x:fills count="6">
    <x:fill>
      <x:patternFill patternType="none"/>
    </x:fill>
    <x:fill>
      <x:patternFill patternType="gray125"/>
    </x:fill>
    <x:fill>
      <x:patternFill patternType="solid">
        <x:fgColor rgb="FF243B5A"/>
      </x:patternFill>
    </x:fill>
    <x:fill>
      <x:patternFill patternType="solid">
        <x:fgColor rgb="FFFFFFFF"/>
      </x:patternFill>
    </x:fill>
    <x:fill>
      <x:patternFill patternType="solid">
        <x:fgColor rgb="FFF4F7FA"/>
      </x:patternFill>
    </x:fill>
    <x:fill>
      <x:patternFill patternType="solid">
        <x:fgColor rgb="FFFFF7DA"/>
      </x:patternFill>
    </x:fill>
  </x:fills>
  <x:borders count="6">
    <x:border/>
    <x:border>
      <x:bottom style="thin">
        <x:color rgb="FFCBD5E1"/>
      </x:bottom>
    </x:border>
    <x:border>
      <x:right style="thin">
        <x:color rgb="FFFFFFFF"/>
      </x:right>
    </x:border>
    <x:border>
      <x:left style="thin">
        <x:color rgb="FFFFFFFF"/>
      </x:left>
      <x:right style="thin">
        <x:color rgb="FFFFFFFF"/>
      </x:right>
    </x:border>
    <x:border>
      <x:left style="thin">
        <x:color rgb="FFFFFFFF"/>
      </x:left>
    </x:border>
    <x:border>
      <x:top style="thin">
        <x:color rgb="FFCBD5E1"/>
      </x:top>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0"/>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4" fillId="2" borderId="4" xfId="0" applyNumberFormat="1" applyFont="1" applyFill="1" applyBorder="1" applyAlignment="1">
      <x:alignment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1" fontId="1" fillId="4"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0"/>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0" fontId="1" fillId="4"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0" fontId="7" fillId="4" borderId="0" xfId="0" applyNumberFormat="1" applyFont="1" applyFill="1" applyBorder="1" applyAlignment="1">
      <x:alignment vertical="center"/>
    </x:xf>
    <x:xf numFmtId="201" fontId="7" fillId="4" borderId="0" xfId="0" applyNumberFormat="1" applyFont="1" applyFill="1" applyBorder="1" applyAlignment="1">
      <x:alignment horizontal="right" vertical="center"/>
    </x:xf>
    <x:xf numFmtId="0" fontId="7" fillId="4" borderId="5" xfId="0" applyNumberFormat="1" applyFont="1" applyFill="1" applyBorder="1" applyAlignment="1">
      <x:alignment vertical="center"/>
    </x:xf>
    <x:xf numFmtId="201" fontId="7" fillId="4" borderId="5" xfId="0" applyNumberFormat="1" applyFont="1" applyFill="1" applyBorder="1" applyAlignment="1">
      <x:alignment horizontal="right" vertical="center"/>
    </x:xf>
    <x:xf numFmtId="202" fontId="1"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202" fontId="6" fillId="0" borderId="0" xfId="0" applyNumberFormat="1" applyFont="1" applyFill="1" applyBorder="1" applyAlignment="1">
      <x:alignment horizontal="right" vertical="center"/>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25">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A31F2F"/>
      </x:font>
      <x:fill>
        <x:patternFill>
          <x:bgColor rgb="FFFCE7E7"/>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A31F2F"/>
      </x:font>
      <x:fill>
        <x:patternFill>
          <x:bgColor rgb="FFFCE7E7"/>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A31F2F"/>
      </x:font>
      <x:fill>
        <x:patternFill>
          <x:bgColor rgb="FFFCE7E7"/>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7B5100"/>
      </x:font>
      <x:fill>
        <x:patternFill>
          <x:bgColor rgb="FFFFF0CE"/>
        </x:patternFill>
      </x:fill>
    </x:dxf>
    <x:dxf>
      <x:font>
        <x:b/>
        <x:color rgb="FFA31F2F"/>
      </x:font>
      <x:fill>
        <x:patternFill>
          <x:bgColor rgb="FFFC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abd0a567414f30" /><Relationship Type="http://schemas.openxmlformats.org/officeDocument/2006/relationships/theme" Target="/xl/theme/theme1.xml" Id="Rafa66e63f7244bb3" /><Relationship Type="http://schemas.openxmlformats.org/officeDocument/2006/relationships/sharedStrings" Target="/xl/sharedStrings.xml" Id="Rc9f99af56bce493e" /><Relationship Type="http://schemas.openxmlformats.org/officeDocument/2006/relationships/worksheet" Target="/xl/worksheets/sheet1.xml" Id="R21a47f10c5224ae8" /><Relationship Type="http://schemas.openxmlformats.org/officeDocument/2006/relationships/worksheet" Target="/xl/worksheets/sheet2.xml" Id="Rc2a442969f174d8a" /><Relationship Type="http://schemas.openxmlformats.org/officeDocument/2006/relationships/worksheet" Target="/xl/worksheets/sheet3.xml" Id="Rba7797ad8e4d467a" /><Relationship Type="http://schemas.openxmlformats.org/officeDocument/2006/relationships/worksheet" Target="/xl/worksheets/sheet4.xml" Id="R63d5758042cf4ee0" /><Relationship Type="http://schemas.openxmlformats.org/officeDocument/2006/relationships/worksheet" Target="/xl/worksheets/sheet5.xml" Id="Rd510335fb9454930" /></Relationships>
</file>

<file path=xl/tables/table1.xml><?xml version="1.0" encoding="utf-8"?>
<x:table xmlns:x="http://schemas.openxmlformats.org/spreadsheetml/2006/main" id="2" name="ImmersionScreens" displayName="ImmersionScreens" ref="A6:T46" headerRowCount="1" totalsRowCount="0" totalsRowShown="0">
  <x:autoFilter ref="A6:T46"/>
  <x:tableColumns count="20">
    <x:tableColumn id="1" name="ID"/>
    <x:tableColumn id="2" name="Écran / états proches"/>
    <x:tableColumn id="3" name="Priorité"/>
    <x:tableColumn id="4" name="Code — synthèse"/>
    <x:tableColumn id="5" name="Lots liés"/>
    <x:tableColumn id="6" name="Tests auto"/>
    <x:tableColumn id="7" name="Navigateur"/>
    <x:tableColumn id="8" name="Constat de l’audit initial"/>
    <x:tableColumn id="9" name="Modifications — résumé"/>
    <x:tableColumn id="10" name="Fonctions à conserver"/>
    <x:tableColumn id="11" name="Critères d’acceptation"/>
    <x:tableColumn id="12" name="Limites / recette restante"/>
    <x:tableColumn id="13" name="Fichiers modifiés"/>
    <x:tableColumn id="14" name="Lots"/>
    <x:tableColumn id="15" name="Sources audit 5f44cf34"/>
    <x:tableColumn id="16" name="Audit — lien code"/>
    <x:tableColumn id="17" name="Branche — lien code"/>
    <x:tableColumn id="18" name="Recommandation initiale"/>
    <x:tableColumn id="19" name="Preuve navigateur de branche"/>
    <x:tableColumn id="20" name="État navigateur documenté"/>
  </x:tableColumns>
  <x:tableStyleInfo name="TableStyleLight1" showFirstColumn="0" showLastColumn="0" showRowStripes="1" showColumnStripes="0"/>
</x:table>
</file>

<file path=xl/tables/table2.xml><?xml version="1.0" encoding="utf-8"?>
<x:table xmlns:x="http://schemas.openxmlformats.org/spreadsheetml/2006/main" id="1" name="ImmersionActions" displayName="ImmersionActions" ref="A6:O45" headerRowCount="1" totalsRowCount="0" totalsRowShown="0">
  <x:autoFilter ref="A6:O45"/>
  <x:tableColumns count="15">
    <x:tableColumn id="1" name="Lot"/>
    <x:tableColumn id="2" name="Écrans liés"/>
    <x:tableColumn id="3" name="Priorité"/>
    <x:tableColumn id="4" name="Code"/>
    <x:tableColumn id="5" name="Tests auto"/>
    <x:tableColumn id="6" name="Navigateur"/>
    <x:tableColumn id="7" name="Modifications réalisées"/>
    <x:tableColumn id="8" name="Fichiers"/>
    <x:tableColumn id="9" name="Validation déclarée / résultats"/>
    <x:tableColumn id="10" name="Limites restantes"/>
    <x:tableColumn id="11" name="Preuve navigateur"/>
    <x:tableColumn id="12" name="Source code"/>
    <x:tableColumn id="13" name="Ledger source"/>
    <x:tableColumn id="14" name="Clés de couverture"/>
    <x:tableColumn id="15" name="Portée"/>
  </x:tableColumns>
  <x:tableStyleInfo name="TableStyleLight1" showFirstColumn="0" showLastColumn="0" showRowStripes="1" showColumnStripes="0"/>
</x:table>
</file>

<file path=xl/tables/table3.xml><?xml version="1.0" encoding="utf-8"?>
<x:table xmlns:x="http://schemas.openxmlformats.org/spreadsheetml/2006/main" id="3" name="ImmersionConservation" displayName="ImmersionConservation" ref="A6:H46" headerRowCount="1" totalsRowCount="0" totalsRowShown="0">
  <x:autoFilter ref="A6:H46"/>
  <x:tableColumns count="8">
    <x:tableColumn id="1" name="ID"/>
    <x:tableColumn id="2" name="Écran"/>
    <x:tableColumn id="3" name="Fonctions et contenus à préserver"/>
    <x:tableColumn id="4" name="Destination dans la nouvelle interface"/>
    <x:tableColumn id="5" name="Tests liés"/>
    <x:tableColumn id="6" name="Navigateur"/>
    <x:tableColumn id="7" name="Contrôle d’acceptation"/>
    <x:tableColumn id="8" name="Fiche liée"/>
  </x:tableColumns>
  <x:tableStyleInfo name="TableStyleLight1" showFirstColumn="0" showLastColumn="0" showRowStripes="1" showColumnStripes="0"/>
</x:table>
</file>

<file path=xl/tables/table4.xml><?xml version="1.0" encoding="utf-8"?>
<x:table xmlns:x="http://schemas.openxmlformats.org/spreadsheetml/2006/main" id="4" name="ImmersionVerification" displayName="ImmersionVerification" ref="A6:H124" headerRowCount="1" totalsRowCount="0" totalsRowShown="0">
  <x:autoFilter ref="A6:H124"/>
  <x:tableColumns count="8">
    <x:tableColumn id="1" name="Réf."/>
    <x:tableColumn id="2" name="Nature de preuve"/>
    <x:tableColumn id="3" name="Résultat"/>
    <x:tableColumn id="4" name="Portée / lots"/>
    <x:tableColumn id="5" name="Commande ou vérification"/>
    <x:tableColumn id="6" name="Limites de la preuve"/>
    <x:tableColumn id="7" name="Trace / capture / URL"/>
    <x:tableColumn id="8" name="Sourc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29e0c628dc54133" /></Relationships>
</file>

<file path=xl/worksheets/_rels/sheet3.xml.rels>&#65279;<?xml version="1.0" encoding="utf-8"?><Relationships xmlns="http://schemas.openxmlformats.org/package/2006/relationships"><Relationship Type="http://schemas.openxmlformats.org/officeDocument/2006/relationships/table" Target="/xl/tables/table2.xml" Id="R45f20f6069fb408d" /></Relationships>
</file>

<file path=xl/worksheets/_rels/sheet4.xml.rels>&#65279;<?xml version="1.0" encoding="utf-8"?><Relationships xmlns="http://schemas.openxmlformats.org/package/2006/relationships"><Relationship Type="http://schemas.openxmlformats.org/officeDocument/2006/relationships/table" Target="/xl/tables/table3.xml" Id="R07df8ff7298241bd" /></Relationships>
</file>

<file path=xl/worksheets/_rels/sheet5.xml.rels>&#65279;<?xml version="1.0" encoding="utf-8"?><Relationships xmlns="http://schemas.openxmlformats.org/package/2006/relationships"><Relationship Type="http://schemas.openxmlformats.org/officeDocument/2006/relationships/table" Target="/xl/tables/table4.xml" Id="R7c8a79faed344ad3" /></Relationships>
</file>

<file path=xl/worksheets/sheet1.xml><?xml version="1.0" encoding="utf-8"?>
<x:worksheet xmlns:x="http://schemas.openxmlformats.org/spreadsheetml/2006/main">
  <x:sheetPr>
    <x:tabColor rgb="FF243B5A"/>
  </x:sheetPr>
  <x:sheetViews>
    <x:sheetView showGridLines="0" workbookViewId="0"/>
  </x:sheetViews>
  <x:sheetFormatPr defaultRowHeight="15"/>
  <x:cols>
    <x:col min="1" max="1" width="15" hidden="0" customWidth="1"/>
    <x:col min="2" max="2" width="13" hidden="0" customWidth="1"/>
    <x:col min="3" max="3" width="18" hidden="0" customWidth="1"/>
    <x:col min="4" max="4" width="17" hidden="0" customWidth="1"/>
    <x:col min="5" max="5" width="16" hidden="0" customWidth="1"/>
    <x:col min="6" max="6" width="15" hidden="0" customWidth="1"/>
    <x:col min="7" max="7" width="18" hidden="0" customWidth="1"/>
    <x:col min="8" max="8" width="23" hidden="0" customWidth="1"/>
  </x:cols>
  <x:sheetData>
    <x:row r="1" ht="10" customHeight="1">
      <x:c r="A1" s="2"/>
      <x:c r="B1" s="2"/>
      <x:c r="C1" s="2"/>
      <x:c r="D1" s="2"/>
      <x:c r="E1" s="2"/>
      <x:c r="F1" s="2"/>
      <x:c r="G1" s="2"/>
      <x:c r="H1" s="2"/>
    </x:row>
    <x:row r="2" ht="28" customHeight="1">
      <x:c r="A2" s="4" t="str">
        <x:v>Multiverse Breach — suivi de la refonte immersive</x:v>
      </x:c>
      <x:c r="B2" s="2"/>
      <x:c r="C2" s="2"/>
      <x:c r="D2" s="2"/>
      <x:c r="E2" s="2"/>
      <x:c r="F2" s="2"/>
      <x:c r="G2" s="2"/>
      <x:c r="H2" s="2"/>
    </x:row>
    <x:row r="3" ht="8" customHeight="1">
      <x:c r="A3" s="5"/>
      <x:c r="B3" s="5"/>
      <x:c r="C3" s="5"/>
      <x:c r="D3" s="5"/>
      <x:c r="E3" s="5"/>
      <x:c r="F3" s="5"/>
      <x:c r="G3" s="5"/>
      <x:c r="H3" s="5"/>
    </x:row>
    <x:row r="4" ht="22" customHeight="1">
      <x:c r="A4" s="7" t="str">
        <x:v>Audit initial 5f44cf34 · Base b8b2c326 · Suite Course du 26 octobre 2026</x:v>
      </x:c>
      <x:c r="B4" s="2"/>
      <x:c r="C4" s="2"/>
      <x:c r="D4" s="2"/>
      <x:c r="E4" s="2"/>
      <x:c r="F4" s="2"/>
      <x:c r="G4" s="2"/>
      <x:c r="H4" s="2"/>
    </x:row>
    <x:row r="5" ht="8" customHeight="1">
      <x:c r="A5" s="2"/>
      <x:c r="B5" s="2"/>
      <x:c r="C5" s="2"/>
      <x:c r="D5" s="2"/>
      <x:c r="E5" s="2"/>
      <x:c r="F5" s="2"/>
      <x:c r="G5" s="2"/>
      <x:c r="H5" s="2"/>
    </x:row>
    <x:row r="6" ht="24" customHeight="1">
      <x:c r="A6" s="33" t="str">
        <x:v>40 écrans • conservation des fonctions • plein viewport et panneaux contextuels</x:v>
      </x:c>
      <x:c r="B6" s="2"/>
      <x:c r="C6" s="2"/>
      <x:c r="D6" s="2"/>
      <x:c r="E6" s="2"/>
      <x:c r="F6" s="2"/>
      <x:c r="G6" s="2"/>
      <x:c r="H6" s="2"/>
    </x:row>
    <x:row r="7">
      <x:c r="A7" s="2"/>
      <x:c r="B7" s="2"/>
      <x:c r="C7" s="2"/>
      <x:c r="D7" s="2"/>
      <x:c r="E7" s="2"/>
      <x:c r="F7" s="2"/>
      <x:c r="G7" s="2"/>
      <x:c r="H7" s="2"/>
    </x:row>
    <x:row r="8" ht="36" customHeight="1">
      <x:c r="A8" s="16" t="str">
        <x:v>Priorité</x:v>
      </x:c>
      <x:c r="B8" s="17" t="str">
        <x:v>Écrans</x:v>
      </x:c>
      <x:c r="C8" s="17" t="str">
        <x:v>Code implémenté</x:v>
      </x:c>
      <x:c r="D8" s="17" t="str">
        <x:v>Base conservée</x:v>
      </x:c>
      <x:c r="E8" s="17" t="str">
        <x:v>Partiels</x:v>
      </x:c>
      <x:c r="F8" s="17" t="str">
        <x:v>À traiter / préciser</x:v>
      </x:c>
      <x:c r="G8" s="17" t="str">
        <x:v>Tests réussis</x:v>
      </x:c>
      <x:c r="H8" s="18" t="str">
        <x:v>Observés sur branche</x:v>
      </x:c>
    </x:row>
    <x:row r="9" ht="28" customHeight="1">
      <x:c r="A9" s="2" t="str">
        <x:v>P0</x:v>
      </x:c>
      <x:c r="B9" s="35" t="n">
        <x:f>COUNTIFS('40 écrans'!$C$7:$C$46,A9)</x:f>
        <x:v>2</x:v>
      </x:c>
      <x:c r="C9" s="35" t="n">
        <x:f>COUNTIFS('40 écrans'!$C$7:$C$46,A9,'40 écrans'!$D$7:$D$46,"Implémenté")</x:f>
        <x:v>2</x:v>
      </x:c>
      <x:c r="D9" s="35" t="n">
        <x:f>COUNTIFS('40 écrans'!$C$7:$C$46,A9,'40 écrans'!$D$7:$D$46,"Conservé")</x:f>
        <x:v>0</x:v>
      </x:c>
      <x:c r="E9" s="35" t="n">
        <x:f>COUNTIFS('40 écrans'!$C$7:$C$46,A9,'40 écrans'!$D$7:$D$46,"Partiel")</x:f>
        <x:v>0</x:v>
      </x:c>
      <x:c r="F9" s="35" t="n">
        <x:f>COUNTIFS('40 écrans'!$C$7:$C$46,A9,'40 écrans'!$D$7:$D$46,"À traiter")+COUNTIFS('40 écrans'!$C$7:$C$46,A9,'40 écrans'!$D$7:$D$46,"À préciser")</x:f>
        <x:v>0</x:v>
      </x:c>
      <x:c r="G9" s="35" t="n">
        <x:f>COUNTIFS('40 écrans'!$C$7:$C$46,A9,'40 écrans'!$F$7:$F$46,"Réussis")</x:f>
        <x:v>1</x:v>
      </x:c>
      <x:c r="H9" s="35" t="n">
        <x:f>COUNTIFS('40 écrans'!$C$7:$C$46,A9,'40 écrans'!$G$7:$G$46,"Observé sur branche")</x:f>
        <x:v>0</x:v>
      </x:c>
    </x:row>
    <x:row r="10" ht="28" customHeight="1">
      <x:c r="A10" s="2" t="str">
        <x:v>P1</x:v>
      </x:c>
      <x:c r="B10" s="35" t="n">
        <x:f>COUNTIFS('40 écrans'!$C$7:$C$46,A10)</x:f>
        <x:v>34</x:v>
      </x:c>
      <x:c r="C10" s="35" t="n">
        <x:f>COUNTIFS('40 écrans'!$C$7:$C$46,A10,'40 écrans'!$D$7:$D$46,"Implémenté")</x:f>
        <x:v>34</x:v>
      </x:c>
      <x:c r="D10" s="35" t="n">
        <x:f>COUNTIFS('40 écrans'!$C$7:$C$46,A10,'40 écrans'!$D$7:$D$46,"Conservé")</x:f>
        <x:v>0</x:v>
      </x:c>
      <x:c r="E10" s="35" t="n">
        <x:f>COUNTIFS('40 écrans'!$C$7:$C$46,A10,'40 écrans'!$D$7:$D$46,"Partiel")</x:f>
        <x:v>0</x:v>
      </x:c>
      <x:c r="F10" s="35" t="n">
        <x:f>COUNTIFS('40 écrans'!$C$7:$C$46,A10,'40 écrans'!$D$7:$D$46,"À traiter")+COUNTIFS('40 écrans'!$C$7:$C$46,A10,'40 écrans'!$D$7:$D$46,"À préciser")</x:f>
        <x:v>0</x:v>
      </x:c>
      <x:c r="G10" s="35" t="n">
        <x:f>COUNTIFS('40 écrans'!$C$7:$C$46,A10,'40 écrans'!$F$7:$F$46,"Réussis")</x:f>
        <x:v>28</x:v>
      </x:c>
      <x:c r="H10" s="35" t="n">
        <x:f>COUNTIFS('40 écrans'!$C$7:$C$46,A10,'40 écrans'!$G$7:$G$46,"Observé sur branche")</x:f>
        <x:v>0</x:v>
      </x:c>
    </x:row>
    <x:row r="11" ht="28" customHeight="1">
      <x:c r="A11" s="2" t="str">
        <x:v>P2</x:v>
      </x:c>
      <x:c r="B11" s="35" t="n">
        <x:f>COUNTIFS('40 écrans'!$C$7:$C$46,A11)</x:f>
        <x:v>4</x:v>
      </x:c>
      <x:c r="C11" s="35" t="n">
        <x:f>COUNTIFS('40 écrans'!$C$7:$C$46,A11,'40 écrans'!$D$7:$D$46,"Implémenté")</x:f>
        <x:v>2</x:v>
      </x:c>
      <x:c r="D11" s="35" t="n">
        <x:f>COUNTIFS('40 écrans'!$C$7:$C$46,A11,'40 écrans'!$D$7:$D$46,"Conservé")</x:f>
        <x:v>2</x:v>
      </x:c>
      <x:c r="E11" s="35" t="n">
        <x:f>COUNTIFS('40 écrans'!$C$7:$C$46,A11,'40 écrans'!$D$7:$D$46,"Partiel")</x:f>
        <x:v>0</x:v>
      </x:c>
      <x:c r="F11" s="35" t="n">
        <x:f>COUNTIFS('40 écrans'!$C$7:$C$46,A11,'40 écrans'!$D$7:$D$46,"À traiter")+COUNTIFS('40 écrans'!$C$7:$C$46,A11,'40 écrans'!$D$7:$D$46,"À préciser")</x:f>
        <x:v>0</x:v>
      </x:c>
      <x:c r="G11" s="35" t="n">
        <x:f>COUNTIFS('40 écrans'!$C$7:$C$46,A11,'40 écrans'!$F$7:$F$46,"Réussis")</x:f>
        <x:v>2</x:v>
      </x:c>
      <x:c r="H11" s="35" t="n">
        <x:f>COUNTIFS('40 écrans'!$C$7:$C$46,A11,'40 écrans'!$G$7:$G$46,"Observé sur branche")</x:f>
        <x:v>0</x:v>
      </x:c>
    </x:row>
    <x:row r="12" ht="28" customHeight="1">
      <x:c r="A12" s="40" t="str">
        <x:v>TOTAL</x:v>
      </x:c>
      <x:c r="B12" s="41" t="n">
        <x:f>SUM(B9:B11)</x:f>
        <x:v>40</x:v>
      </x:c>
      <x:c r="C12" s="41" t="n">
        <x:f>SUM(C9:C11)</x:f>
        <x:v>38</x:v>
      </x:c>
      <x:c r="D12" s="41" t="n">
        <x:f>SUM(D9:D11)</x:f>
        <x:v>2</x:v>
      </x:c>
      <x:c r="E12" s="41" t="n">
        <x:f>SUM(E9:E11)</x:f>
        <x:v>0</x:v>
      </x:c>
      <x:c r="F12" s="41" t="n">
        <x:f>SUM(F9:F11)</x:f>
        <x:v>0</x:v>
      </x:c>
      <x:c r="G12" s="41" t="n">
        <x:f>SUM(G9:G11)</x:f>
        <x:v>31</x:v>
      </x:c>
      <x:c r="H12" s="41" t="n">
        <x:f>SUM(H9:H11)</x:f>
        <x:v>0</x:v>
      </x:c>
    </x:row>
    <x:row r="13">
      <x:c r="A13" s="2"/>
      <x:c r="B13" s="2"/>
      <x:c r="C13" s="2"/>
      <x:c r="D13" s="2"/>
      <x:c r="E13" s="2"/>
      <x:c r="F13" s="2"/>
      <x:c r="G13" s="2"/>
      <x:c r="H13" s="2"/>
    </x:row>
    <x:row r="14" ht="25" customHeight="1">
      <x:c r="A14" s="2" t="str">
        <x:v>Couverture code</x:v>
      </x:c>
      <x:c r="B14" s="44" t="n">
        <x:f>IFERROR(SUM(C12:D12)/B12,0)</x:f>
        <x:v>1</x:v>
      </x:c>
      <x:c r="C14" s="46" t="str">
        <x:v>Écrans modifiés ou conservés ; cette mesure ne vaut pas recette complète.</x:v>
      </x:c>
      <x:c r="D14" s="2"/>
      <x:c r="E14" s="2"/>
      <x:c r="F14" s="2"/>
      <x:c r="G14" s="2"/>
      <x:c r="H14" s="2"/>
    </x:row>
    <x:row r="15" ht="25" customHeight="1">
      <x:c r="A15" s="2" t="str">
        <x:v>Recette visuelle</x:v>
      </x:c>
      <x:c r="B15" s="44" t="n">
        <x:f>IFERROR(H12/B12,0)</x:f>
        <x:v>0</x:v>
      </x:c>
      <x:c r="C15" s="46" t="str">
        <x:v>Observations documentées sur la branche ; les captures initiales sont exclues.</x:v>
      </x:c>
      <x:c r="D15" s="2"/>
      <x:c r="E15" s="2"/>
      <x:c r="F15" s="2"/>
      <x:c r="G15" s="2"/>
      <x:c r="H15" s="2"/>
    </x:row>
    <x:row r="16" ht="22" customHeight="1">
      <x:c r="A16" s="46" t="str">
        <x:v>Suite Course : moteur conservé au garage, résultat unique, commandes maintenues et télémétrie portrait lisible.</x:v>
      </x:c>
      <x:c r="B16" s="2"/>
      <x:c r="C16" s="2"/>
      <x:c r="D16" s="2"/>
      <x:c r="E16" s="2"/>
      <x:c r="F16" s="2"/>
      <x:c r="G16" s="2"/>
      <x:c r="H16" s="2"/>
    </x:row>
    <x:row r="17">
      <x:c r="A17" s="33" t="str">
        <x:v>Interpréter les résultats</x:v>
      </x:c>
      <x:c r="B17" s="2"/>
      <x:c r="C17" s="2"/>
      <x:c r="D17" s="2"/>
      <x:c r="E17" s="2"/>
      <x:c r="F17" s="2"/>
      <x:c r="G17" s="2"/>
      <x:c r="H17" s="2"/>
    </x:row>
    <x:row r="18" ht="22" customHeight="1">
      <x:c r="A18" s="47" t="str">
        <x:v>P0 : intégrité des récompenses. P1 : immersion et usage. P2 : finition et harmonisation.</x:v>
      </x:c>
      <x:c r="B18" s="2"/>
      <x:c r="C18" s="2"/>
      <x:c r="D18" s="2"/>
      <x:c r="E18" s="2"/>
      <x:c r="F18" s="2"/>
      <x:c r="G18" s="2"/>
      <x:c r="H18" s="2"/>
    </x:row>
    <x:row r="19" ht="22" customHeight="1">
      <x:c r="A19" s="47" t="str">
        <x:v>Code implémenté : changement présent dans les sources. Base conservée : écran déjà adapté, maintenu et harmonisé.</x:v>
      </x:c>
      <x:c r="B19" s="2"/>
      <x:c r="C19" s="2"/>
      <x:c r="D19" s="2"/>
      <x:c r="E19" s="2"/>
      <x:c r="F19" s="2"/>
      <x:c r="G19" s="2"/>
      <x:c r="H19" s="2"/>
    </x:row>
    <x:row r="20" ht="22" customHeight="1">
      <x:c r="A20" s="47" t="str">
        <x:v>Tests réussis : les lots liés déclarent des résultats automatiques explicites. Les critères d’acceptation restent distincts.</x:v>
      </x:c>
      <x:c r="B20" s="2"/>
      <x:c r="C20" s="2"/>
      <x:c r="D20" s="2"/>
      <x:c r="E20" s="2"/>
      <x:c r="F20" s="2"/>
      <x:c r="G20" s="2"/>
      <x:c r="H20" s="2"/>
    </x:row>
    <x:row r="21" ht="22" customHeight="1">
      <x:c r="A21" s="47" t="str">
        <x:v>Les cellules ambrées dans Actions sont éditables. Les autres tableaux et les compteurs se recalculent à partir des lots.</x:v>
      </x:c>
      <x:c r="B21" s="2"/>
      <x:c r="C21" s="2"/>
      <x:c r="D21" s="2"/>
      <x:c r="E21" s="2"/>
      <x:c r="F21" s="2"/>
      <x:c r="G21" s="2"/>
      <x:c r="H21" s="2"/>
    </x:row>
    <x:row r="22" ht="22" customHeight="1">
      <x:c r="A22" s="47" t="str">
        <x:v>APP-08 suit CI et Excel. Ses associations aux 40 écrans sont exclues du calcul de couverture.</x:v>
      </x:c>
      <x:c r="B22" s="2"/>
      <x:c r="C22" s="2"/>
      <x:c r="D22" s="2"/>
      <x:c r="E22" s="2"/>
      <x:c r="F22" s="2"/>
      <x:c r="G22" s="2"/>
      <x:c r="H22" s="2"/>
    </x:row>
    <x:row r="23" ht="22" customHeight="1">
      <x:c r="A23" s="47" t="str">
        <x:v>Les contenus, commandes, prix, probabilités, garanties et sources restent accessibles ; leur destination est tracée.</x:v>
      </x:c>
      <x:c r="B23" s="2"/>
      <x:c r="C23" s="2"/>
      <x:c r="D23" s="2"/>
      <x:c r="E23" s="2"/>
      <x:c r="F23" s="2"/>
      <x:c r="G23" s="2"/>
      <x:c r="H23" s="2"/>
    </x:row>
    <x:row r="24" ht="22" customHeight="1">
      <x:c r="A24" s="47" t="str">
        <x:v>Les dialogues, les images et les colonnes de lecture peuvent conserver un centrage utile.</x:v>
      </x:c>
      <x:c r="B24" s="2"/>
      <x:c r="C24" s="2"/>
      <x:c r="D24" s="2"/>
      <x:c r="E24" s="2"/>
      <x:c r="F24" s="2"/>
      <x:c r="G24" s="2"/>
      <x:c r="H24" s="2"/>
    </x:row>
    <x:row r="25" ht="42" customHeight="1">
      <x:c r="A25" s="46" t="str">
        <x:v>Course : 40 tests + 6 parcours Chromium hors ligne réussis. Les trois workflows de d45652f sont réussis. Détails et limites dans Vérifications.</x:v>
      </x:c>
      <x:c r="B25" s="2"/>
      <x:c r="C25" s="2"/>
      <x:c r="D25" s="2"/>
      <x:c r="E25" s="2"/>
      <x:c r="F25" s="2"/>
      <x:c r="G25" s="2"/>
      <x:c r="H25" s="2"/>
    </x:row>
    <x:row r="26">
      <x:c r="A26" s="33" t="str">
        <x:v>Méthode et limites</x:v>
      </x:c>
      <x:c r="B26" s="2"/>
      <x:c r="C26" s="2"/>
      <x:c r="D26" s="2"/>
      <x:c r="E26" s="2"/>
      <x:c r="F26" s="2"/>
      <x:c r="G26" s="2"/>
      <x:c r="H26" s="2"/>
    </x:row>
    <x:row r="27" ht="22" customHeight="1">
      <x:c r="A27" s="47" t="str">
        <x:v>Audit initial : parcours invité desktop 1363 × 936, sources du build 5f44cf34 ; 40 fiches regroupent leurs états proches.</x:v>
      </x:c>
      <x:c r="B27" s="2"/>
      <x:c r="C27" s="2"/>
      <x:c r="D27" s="2"/>
      <x:c r="E27" s="2"/>
      <x:c r="F27" s="2"/>
      <x:c r="G27" s="2"/>
      <x:c r="H27" s="2"/>
    </x:row>
    <x:row r="28" ht="22" customHeight="1">
      <x:c r="A28" s="47" t="str">
        <x:v>Inspection de toutes les surfaces identifiées, sans visite de chaque contenu déverrouillable ni de chaque variante.</x:v>
      </x:c>
      <x:c r="B28" s="2"/>
      <x:c r="C28" s="2"/>
      <x:c r="D28" s="2"/>
      <x:c r="E28" s="2"/>
      <x:c r="F28" s="2"/>
      <x:c r="G28" s="2"/>
      <x:c r="H28" s="2"/>
    </x:row>
    <x:row r="29" ht="22" customHeight="1">
      <x:c r="A29" s="47" t="str">
        <x:v>Les tests de géométrie, d’horloge, de focus et de récompense ne remplacent pas un parcours joué sur appareil.</x:v>
      </x:c>
      <x:c r="B29" s="2"/>
      <x:c r="C29" s="2"/>
      <x:c r="D29" s="2"/>
      <x:c r="E29" s="2"/>
      <x:c r="F29" s="2"/>
      <x:c r="G29" s="2"/>
      <x:c r="H29" s="2"/>
    </x:row>
    <x:row r="30" ht="22" customHeight="1">
      <x:c r="A30" s="47" t="str">
        <x:v>Mobile réel, manette, cloud et progression complète restent limités aux preuves explicitement inscrites dans Vérifications.</x:v>
      </x:c>
      <x:c r="B30" s="2"/>
      <x:c r="C30" s="2"/>
      <x:c r="D30" s="2"/>
      <x:c r="E30" s="2"/>
      <x:c r="F30" s="2"/>
      <x:c r="G30" s="2"/>
      <x:c r="H30" s="2"/>
    </x:row>
    <x:row r="31">
      <x:c r="A31" s="2"/>
      <x:c r="B31" s="2"/>
      <x:c r="C31" s="2"/>
      <x:c r="D31" s="2"/>
      <x:c r="E31" s="2"/>
      <x:c r="F31" s="2"/>
      <x:c r="G31" s="2"/>
      <x:c r="H31" s="2"/>
    </x:row>
    <x:row r="32">
      <x:c r="A32" s="33" t="str">
        <x:v>Références et actualisation</x:v>
      </x:c>
      <x:c r="B32" s="2"/>
      <x:c r="C32" s="2"/>
      <x:c r="D32" s="2"/>
      <x:c r="E32" s="2"/>
      <x:c r="F32" s="2"/>
      <x:c r="G32" s="2"/>
      <x:c r="H32" s="2"/>
    </x:row>
    <x:row r="33" ht="22" customHeight="1">
      <x:c r="A33" s="2" t="str">
        <x:v>Branche</x:v>
      </x:c>
      <x:c r="B33" s="2"/>
      <x:c r="C33" s="47" t="str">
        <x:v>codex/immersive-ui-audit-2026-10-25</x:v>
      </x:c>
      <x:c r="D33" s="2"/>
      <x:c r="E33" s="2"/>
      <x:c r="F33" s="2"/>
      <x:c r="G33" s="2"/>
      <x:c r="H33" s="2"/>
    </x:row>
    <x:row r="34" ht="22" customHeight="1">
      <x:c r="A34" s="2" t="str">
        <x:v>Base master</x:v>
      </x:c>
      <x:c r="B34" s="2"/>
      <x:c r="C34" s="47" t="str">
        <x:v>b8b2c326da45ce11ed8bd8868fca0bf266dfd31a</x:v>
      </x:c>
      <x:c r="D34" s="2"/>
      <x:c r="E34" s="2"/>
      <x:c r="F34" s="2"/>
      <x:c r="G34" s="2"/>
      <x:c r="H34" s="2"/>
    </x:row>
    <x:row r="35" ht="22" customHeight="1">
      <x:c r="A35" s="2" t="str">
        <x:v>Commit de preuve</x:v>
      </x:c>
      <x:c r="B35" s="2"/>
      <x:c r="C35" s="47" t="str">
        <x:v>Base d45652f ; sources, résultats et limites : race-continuation-2026-10-26.json.</x:v>
      </x:c>
      <x:c r="D35" s="2"/>
      <x:c r="E35" s="2"/>
      <x:c r="F35" s="2"/>
      <x:c r="G35" s="2"/>
      <x:c r="H35" s="2"/>
    </x:row>
    <x:row r="36" ht="22" customHeight="1">
      <x:c r="A36" s="2" t="str">
        <x:v>Pull request</x:v>
      </x:c>
      <x:c r="B36" s="2"/>
      <x:c r="C36" s="47" t="str">
        <x:f>IFERROR(HYPERLINK("https://github.com/darknigthmare/multiverse-breach/pull/9","Ouvrir la pull request"),"Ouvrir la pull request")</x:f>
        <x:v>Ouvrir la pull request</x:v>
      </x:c>
      <x:c r="D36" s="2"/>
      <x:c r="E36" s="2"/>
      <x:c r="F36" s="2"/>
      <x:c r="G36" s="2"/>
      <x:c r="H36" s="2"/>
    </x:row>
    <x:row r="37" ht="22" customHeight="1">
      <x:c r="A37" s="2" t="str">
        <x:v>Preview</x:v>
      </x:c>
      <x:c r="B37" s="2"/>
      <x:c r="C37" s="47" t="str">
        <x:v>URL non enregistrée ; aucune recette navigateur déduite</x:v>
      </x:c>
      <x:c r="D37" s="2"/>
      <x:c r="E37" s="2"/>
      <x:c r="F37" s="2"/>
      <x:c r="G37" s="2"/>
      <x:c r="H37" s="2"/>
    </x:row>
    <x:row r="38" ht="22" customHeight="1">
      <x:c r="A38" s="2" t="str">
        <x:v>Régénération</x:v>
      </x:c>
      <x:c r="B38" s="2"/>
      <x:c r="C38" s="47" t="str">
        <x:v>Actualisation artifact_tool ; historique du duel et suite Course conservés dans les deux comptes rendus de reprise.</x:v>
      </x:c>
      <x:c r="D38" s="2"/>
      <x:c r="E38" s="2"/>
      <x:c r="F38" s="2"/>
      <x:c r="G38" s="2"/>
      <x:c r="H38" s="2"/>
    </x:row>
    <x:row r="39">
      <x:c r="A39" s="2"/>
      <x:c r="B39" s="2"/>
      <x:c r="C39" s="2"/>
      <x:c r="D39" s="2"/>
      <x:c r="E39" s="2"/>
      <x:c r="F39" s="2"/>
      <x:c r="G39" s="2"/>
      <x:c r="H39" s="2"/>
    </x:row>
    <x:row r="40" ht="35" customHeight="1">
      <x:c r="A40" s="7" t="str">
        <x:v>Sources : audit initial, ledgers, validation.json, continuation-2026-10-26.json et race-continuation-2026-10-26.json.</x:v>
      </x:c>
      <x:c r="B40" s="2"/>
      <x:c r="C40" s="2"/>
      <x:c r="D40" s="2"/>
      <x:c r="E40" s="2"/>
      <x:c r="F40" s="2"/>
      <x:c r="G40" s="2"/>
      <x:c r="H40" s="2"/>
    </x:row>
    <x:row r="41" ht="35" customHeight="1">
      <x:c r="A41" s="7" t="str">
        <x:v>26 octobre 2026 : Course testée sur composants réels avec états préparés ; médias et matériel physique non certifiés localement.</x:v>
      </x:c>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sheetData>
  <x:pageMargins left="0.7" right="0.7" top="0.75" bottom="0.75" header="0.3" footer="0.3"/>
</x:worksheet>
</file>

<file path=xl/worksheets/sheet2.xml><?xml version="1.0" encoding="utf-8"?>
<x:worksheet xmlns:x="http://schemas.openxmlformats.org/spreadsheetml/2006/main">
  <x:sheetPr>
    <x:tabColor rgb="FF243B5A"/>
  </x:sheetPr>
  <x:sheetViews>
    <x:sheetView showGridLines="0" workbookViewId="0">
      <x:pane xSplit="2" ySplit="6" topLeftCell="C7" activePane="bottomRight" state="frozen"/>
    </x:sheetView>
  </x:sheetViews>
  <x:sheetFormatPr defaultRowHeight="15"/>
  <x:cols>
    <x:col min="1" max="1" width="8" hidden="0" customWidth="1"/>
    <x:col min="2" max="2" width="43" hidden="0" customWidth="1"/>
    <x:col min="3" max="3" width="11" hidden="0" customWidth="1"/>
    <x:col min="4" max="4" width="20" hidden="0" customWidth="1"/>
    <x:col min="5" max="5" width="11" hidden="0" customWidth="1"/>
    <x:col min="6" max="6" width="17" hidden="0" customWidth="1"/>
    <x:col min="7" max="7" width="23" hidden="0" customWidth="1"/>
    <x:col min="8" max="8" width="78" hidden="0" customWidth="1"/>
    <x:col min="9" max="9" width="90" hidden="0" customWidth="1"/>
    <x:col min="10" max="10" width="72" hidden="0" customWidth="1"/>
    <x:col min="11" max="11" width="72" hidden="0" customWidth="1"/>
    <x:col min="12" max="12" width="85" hidden="0" customWidth="1"/>
    <x:col min="13" max="13" width="55" hidden="0" customWidth="1"/>
    <x:col min="14" max="14" width="32" hidden="0" customWidth="1"/>
    <x:col min="15" max="15" width="58" hidden="0" customWidth="1"/>
    <x:col min="16" max="16" width="24" hidden="0" customWidth="1"/>
    <x:col min="17" max="17" width="24" hidden="0" customWidth="1"/>
    <x:col min="18" max="18" width="78" hidden="0" customWidth="1"/>
    <x:col min="19" max="19" width="60" hidden="0" customWidth="1"/>
    <x:col min="20" max="20" width="25" hidden="0" customWidth="1"/>
  </x:cols>
  <x:sheetData>
    <x:row r="1" ht="10" customHeight="1">
      <x:c r="A1" s="2"/>
      <x:c r="B1" s="2"/>
      <x:c r="C1" s="2"/>
      <x:c r="D1" s="2"/>
      <x:c r="E1" s="2"/>
      <x:c r="F1" s="2"/>
      <x:c r="G1" s="2"/>
      <x:c r="H1" s="2"/>
      <x:c r="I1" s="2"/>
      <x:c r="J1" s="2"/>
      <x:c r="K1" s="2"/>
      <x:c r="L1" s="2"/>
      <x:c r="M1" s="2"/>
      <x:c r="N1" s="2"/>
      <x:c r="O1" s="2"/>
      <x:c r="P1" s="2"/>
      <x:c r="Q1" s="2"/>
      <x:c r="R1" s="2"/>
      <x:c r="S1" s="2"/>
      <x:c r="T1" s="2"/>
    </x:row>
    <x:row r="2" ht="28" customHeight="1">
      <x:c r="A2" s="4" t="str">
        <x:v>Les 40 écrans — audit, réalisation et recette</x:v>
      </x:c>
      <x:c r="B2" s="2"/>
      <x:c r="C2" s="2"/>
      <x:c r="D2" s="2"/>
      <x:c r="E2" s="2"/>
      <x:c r="F2" s="2"/>
      <x:c r="G2" s="2"/>
      <x:c r="H2" s="2"/>
      <x:c r="I2" s="2"/>
      <x:c r="J2" s="2"/>
      <x:c r="K2" s="2"/>
      <x:c r="L2" s="2"/>
      <x:c r="M2" s="2"/>
      <x:c r="N2" s="2"/>
      <x:c r="O2" s="2"/>
      <x:c r="P2" s="2"/>
      <x:c r="Q2" s="2"/>
      <x:c r="R2" s="2"/>
      <x:c r="S2" s="2"/>
      <x:c r="T2" s="2"/>
    </x:row>
    <x:row r="3" ht="8" customHeight="1">
      <x:c r="A3" s="5"/>
      <x:c r="B3" s="5"/>
      <x:c r="C3" s="5"/>
      <x:c r="D3" s="5"/>
      <x:c r="E3" s="5"/>
      <x:c r="F3" s="5"/>
      <x:c r="G3" s="5"/>
      <x:c r="H3" s="5"/>
      <x:c r="I3" s="5"/>
      <x:c r="J3" s="5"/>
      <x:c r="K3" s="5"/>
      <x:c r="L3" s="5"/>
      <x:c r="M3" s="5"/>
      <x:c r="N3" s="5"/>
      <x:c r="O3" s="5"/>
      <x:c r="P3" s="5"/>
      <x:c r="Q3" s="5"/>
      <x:c r="R3" s="5"/>
      <x:c r="S3" s="5"/>
      <x:c r="T3" s="5"/>
    </x:row>
    <x:row r="4" ht="22" customHeight="1">
      <x:c r="A4" s="7" t="str">
        <x:v>L’audit initial porte sur 5f44cf34. Les colonnes Code et Tests ne certifient pas la recette visuelle de la nouvelle branche.</x:v>
      </x:c>
      <x:c r="B4" s="2"/>
      <x:c r="C4" s="2"/>
      <x:c r="D4" s="2"/>
      <x:c r="E4" s="2"/>
      <x:c r="F4" s="2"/>
      <x:c r="G4" s="2"/>
      <x:c r="H4" s="2"/>
      <x:c r="I4" s="2"/>
      <x:c r="J4" s="2"/>
      <x:c r="K4" s="2"/>
      <x:c r="L4" s="2"/>
      <x:c r="M4" s="2"/>
      <x:c r="N4" s="2"/>
      <x:c r="O4" s="2"/>
      <x:c r="P4" s="2"/>
      <x:c r="Q4" s="2"/>
      <x:c r="R4" s="2"/>
      <x:c r="S4" s="2"/>
      <x:c r="T4" s="2"/>
    </x:row>
    <x:row r="5" ht="8" customHeight="1">
      <x:c r="A5" s="2"/>
      <x:c r="B5" s="2"/>
      <x:c r="C5" s="2"/>
      <x:c r="D5" s="2"/>
      <x:c r="E5" s="2"/>
      <x:c r="F5" s="2"/>
      <x:c r="G5" s="2"/>
      <x:c r="H5" s="2"/>
      <x:c r="I5" s="2"/>
      <x:c r="J5" s="2"/>
      <x:c r="K5" s="2"/>
      <x:c r="L5" s="2"/>
      <x:c r="M5" s="2"/>
      <x:c r="N5" s="2"/>
      <x:c r="O5" s="2"/>
      <x:c r="P5" s="2"/>
      <x:c r="Q5" s="2"/>
      <x:c r="R5" s="2"/>
      <x:c r="S5" s="2"/>
      <x:c r="T5" s="2"/>
    </x:row>
    <x:row r="6" ht="34" customHeight="1">
      <x:c r="A6" s="16" t="str">
        <x:v>ID</x:v>
      </x:c>
      <x:c r="B6" s="17" t="str">
        <x:v>Écran / états proches</x:v>
      </x:c>
      <x:c r="C6" s="17" t="str">
        <x:v>Priorité</x:v>
      </x:c>
      <x:c r="D6" s="17" t="str">
        <x:v>Code — synthèse</x:v>
      </x:c>
      <x:c r="E6" s="17" t="str">
        <x:v>Lots liés</x:v>
      </x:c>
      <x:c r="F6" s="17" t="str">
        <x:v>Tests auto</x:v>
      </x:c>
      <x:c r="G6" s="17" t="str">
        <x:v>Navigateur</x:v>
      </x:c>
      <x:c r="H6" s="17" t="str">
        <x:v>Constat de l’audit initial</x:v>
      </x:c>
      <x:c r="I6" s="17" t="str">
        <x:v>Modifications — résumé</x:v>
      </x:c>
      <x:c r="J6" s="17" t="str">
        <x:v>Fonctions à conserver</x:v>
      </x:c>
      <x:c r="K6" s="17" t="str">
        <x:v>Critères d’acceptation</x:v>
      </x:c>
      <x:c r="L6" s="17" t="str">
        <x:v>Limites / recette restante</x:v>
      </x:c>
      <x:c r="M6" s="17" t="str">
        <x:v>Fichiers modifiés</x:v>
      </x:c>
      <x:c r="N6" s="17" t="str">
        <x:v>Lots</x:v>
      </x:c>
      <x:c r="O6" s="17" t="str">
        <x:v>Sources audit 5f44cf34</x:v>
      </x:c>
      <x:c r="P6" s="17" t="str">
        <x:v>Audit — lien code</x:v>
      </x:c>
      <x:c r="Q6" s="17" t="str">
        <x:v>Branche — lien code</x:v>
      </x:c>
      <x:c r="R6" s="17" t="str">
        <x:v>Recommandation initiale</x:v>
      </x:c>
      <x:c r="S6" s="17" t="str">
        <x:v>Preuve navigateur de branche</x:v>
      </x:c>
      <x:c r="T6" s="18" t="str">
        <x:v>État navigateur documenté</x:v>
      </x:c>
    </x:row>
    <x:row r="7" ht="64" customHeight="1">
      <x:c r="A7" s="24" t="n">
        <x:v>1</x:v>
      </x:c>
      <x:c r="B7" s="22" t="str">
        <x:v>Écran titre et présentation automatique</x:v>
      </x:c>
      <x:c r="C7" s="22" t="str">
        <x:v>P2</x:v>
      </x:c>
      <x:c r="D7" s="22" t="str">
        <x:f>IF(E7=0,"À traiter",IF(COUNTIFS(Actions!$A$7:$A$45,"shell-title",Actions!$D$7:$D$45,"À préciser")&gt;0,"À préciser",IF(COUNTIFS(Actions!$A$7:$A$45,"shell-title",Actions!$D$7:$D$45,"Partiel")+COUNTIFS(Actions!$A$7:$A$45,"shell-title",Actions!$D$7:$D$45,"À traiter")&gt;0,"Partiel",IF(COUNTIFS(Actions!$A$7:$A$45,"shell-title",Actions!$D$7:$D$45,"Implémenté")&gt;0,"Implémenté","Conservé"))))</x:f>
        <x:v>Conservé</x:v>
      </x:c>
      <x:c r="E7" s="30" t="n">
        <x:f>COUNTIFS(Actions!$A$7:$A$45,"shell-title")</x:f>
        <x:v>1</x:v>
      </x:c>
      <x:c r="F7" s="22" t="str">
        <x:f>IF(E7=0,"Non réalisés",IF(COUNTIFS(Actions!$A$7:$A$45,"shell-title",Actions!$E$7:$E$45,"Échec")&gt;0,"Échec",IF(COUNTIFS(Actions!$A$7:$A$45,"shell-title",Actions!$E$7:$E$45,"Bloqués")+COUNTIFS(Actions!$A$7:$A$45,"shell-title",Actions!$E$7:$E$45,"Partiels")&gt;0,"Partiels",IF(COUNTIFS(Actions!$A$7:$A$45,"shell-title",Actions!$E$7:$E$45,"Réussis")=E7,"Réussis",IF(COUNTIFS(Actions!$A$7:$A$45,"shell-title",Actions!$E$7:$E$45,"Réussis")&gt;0,"Partiels",IF(COUNTIFS(Actions!$A$7:$A$45,"shell-title",Actions!$E$7:$E$45,"Déclarés")&gt;0,"Déclarés","Non réalisés"))))))</x:f>
        <x:v>Réussis</x:v>
      </x:c>
      <x:c r="G7" s="22" t="str">
        <x:f>IF(T7&lt;&gt;"Non réalisé",T7,IF(E7=0,"Non réalisé",IF(COUNTIFS(Actions!$A$7:$A$45,"shell-title",Actions!$F$7:$F$45,"Échec")&gt;0,"Échec",IF(COUNTIFS(Actions!$A$7:$A$45,"shell-title",Actions!$F$7:$F$45,"Observé sur branche")=E7,"Observé sur branche",IF(COUNTIFS(Actions!$A$7:$A$45,"shell-title",Actions!$F$7:$F$45,"Observé sur branche")+COUNTIFS(Actions!$A$7:$A$45,"shell-title",Actions!$F$7:$F$45,"Partiel")&gt;0,"Partiel","Non réalisé")))))</x:f>
        <x:v>Non réalisé</x:v>
      </x:c>
      <x:c r="H7" s="22" t="str">
        <x:v>Le titre dispose déjà d’un décor couvrant le viewport, d’un menu distinct, d’une reprise de progression et d’une présentation automatique des archives déverrouillées. Sa structure est sensiblement plus immersive que les anciennes pièces jointes.</x:v>
      </x:c>
      <x:c r="I7" s="22" t="str">
        <x:v>shell-title — Écran-titre plein écran, attract, rotation, Continuer, Nouvelle Trace, Collection, crédits et prologue conservés.</x:v>
      </x:c>
      <x:c r="J7" s="22" t="str">
        <x:v>Conserver Continuer, Nouvelle trace, Collection, Options, Crédits, la relecture du prologue et la présentation automatique. Les dialogues possèdent déjà une gestion du focus.</x:v>
      </x:c>
      <x:c r="K7" s="22" t="str">
        <x:v>Les actions principales doivent rester visibles sans défilement en paysage. Une reprise doit retrouver la progression existante, et une fermeture de dialogue doit restituer le focus au contrôle d’origine.</x:v>
      </x:c>
      <x:c r="L7" s="22" t="str">
        <x:v>Pas de nouveau parcours navigateur sur la branche au moment de ce relevé.</x:v>
      </x:c>
      <x:c r="M7" s="22" t="str">
        <x:v>src/components/IntroSequence.jsx
src/components/IntroImmersion.css</x:v>
      </x:c>
      <x:c r="N7" s="22" t="str">
        <x:v>shell-title</x:v>
      </x:c>
      <x:c r="O7" s="22" t="str">
        <x:v>src/components/IntroSequence.jsx:112–156
src/components/IntroSequence.jsx:346–418
src/components/IntroSequence.jsx:544–665
src/index.css:6136–6205</x:v>
      </x:c>
      <x:c r="P7" s="26" t="str">
        <x:f>IFERROR(HYPERLINK("https://github.com/darknigthmare/multiverse-breach/blob/5f44cf344d1a9fbb0dbd7c899510b7dd16cf25d6/src/components/IntroSequence.jsx#L112-L156","Source de l’audit"),"Source de l’audit")</x:f>
        <x:v>Source de l’audit</x:v>
      </x:c>
      <x:c r="Q7" s="26" t="str">
        <x:f>IFERROR(HYPERLINK("https://github.com/darknigthmare/multiverse-breach/blob/codex/immersive-ui-audit-2026-10-25/src/components/IntroSequence.jsx","Réalisation actuelle"),"Réalisation actuelle")</x:f>
        <x:v>Réalisation actuelle</x:v>
      </x:c>
      <x:c r="R7" s="22" t="str">
        <x:v>Prendre cet écran comme référence pour les autres espaces. Renforcer la priorité de Continuer ou Nouvelle trace, présenter les événements comme une information secondaire et garder la scène visible derrière les commandes.</x:v>
      </x:c>
      <x:c r="S7" s="22" t="str">
        <x:v>Aucune observation de la nouvelle branche enregistrée.</x:v>
      </x:c>
      <x:c r="T7" s="22" t="str">
        <x:v>Non réalisé</x:v>
      </x:c>
    </x:row>
    <x:row r="8" ht="51" customHeight="1">
      <x:c r="A8" s="25" t="n">
        <x:v>2</x:v>
      </x:c>
      <x:c r="B8" s="21" t="str">
        <x:v>Création de l’Ancre</x:v>
      </x:c>
      <x:c r="C8" s="21" t="str">
        <x:v>P1</x:v>
      </x:c>
      <x:c r="D8" s="21" t="str">
        <x:f>IF(E8=0,"À traiter",IF(COUNTIFS(Actions!$A$7:$A$45,"shell-profile",Actions!$D$7:$D$45,"À préciser")&gt;0,"À préciser",IF(COUNTIFS(Actions!$A$7:$A$45,"shell-profile",Actions!$D$7:$D$45,"Partiel")+COUNTIFS(Actions!$A$7:$A$45,"shell-profile",Actions!$D$7:$D$45,"À traiter")&gt;0,"Partiel",IF(COUNTIFS(Actions!$A$7:$A$45,"shell-profile",Actions!$D$7:$D$45,"Implémenté")&gt;0,"Implémenté","Conservé"))))</x:f>
        <x:v>Implémenté</x:v>
      </x:c>
      <x:c r="E8" s="31" t="n">
        <x:f>COUNTIFS(Actions!$A$7:$A$45,"shell-profile")</x:f>
        <x:v>1</x:v>
      </x:c>
      <x:c r="F8" s="21" t="str">
        <x:f>IF(E8=0,"Non réalisés",IF(COUNTIFS(Actions!$A$7:$A$45,"shell-profile",Actions!$E$7:$E$45,"Échec")&gt;0,"Échec",IF(COUNTIFS(Actions!$A$7:$A$45,"shell-profile",Actions!$E$7:$E$45,"Bloqués")+COUNTIFS(Actions!$A$7:$A$45,"shell-profile",Actions!$E$7:$E$45,"Partiels")&gt;0,"Partiels",IF(COUNTIFS(Actions!$A$7:$A$45,"shell-profile",Actions!$E$7:$E$45,"Réussis")=E8,"Réussis",IF(COUNTIFS(Actions!$A$7:$A$45,"shell-profile",Actions!$E$7:$E$45,"Réussis")&gt;0,"Partiels",IF(COUNTIFS(Actions!$A$7:$A$45,"shell-profile",Actions!$E$7:$E$45,"Déclarés")&gt;0,"Déclarés","Non réalisés"))))))</x:f>
        <x:v>Réussis</x:v>
      </x:c>
      <x:c r="G8" s="21" t="str">
        <x:f>IF(T8&lt;&gt;"Non réalisé",T8,IF(E8=0,"Non réalisé",IF(COUNTIFS(Actions!$A$7:$A$45,"shell-profile",Actions!$F$7:$F$45,"Échec")&gt;0,"Échec",IF(COUNTIFS(Actions!$A$7:$A$45,"shell-profile",Actions!$F$7:$F$45,"Observé sur branche")=E8,"Observé sur branche",IF(COUNTIFS(Actions!$A$7:$A$45,"shell-profile",Actions!$F$7:$F$45,"Observé sur branche")+COUNTIFS(Actions!$A$7:$A$45,"shell-profile",Actions!$F$7:$F$45,"Partiel")&gt;0,"Partiel","Non réalisé")))))</x:f>
        <x:v>Non réalisé</x:v>
      </x:c>
      <x:c r="H8" s="21" t="str">
        <x:v>La création est déjà séparée du titre. Elle associe un panneau d’identité, la cellule de secours et un compte incorporé, avec un bouton permettant de continuer en local.</x:v>
      </x:c>
      <x:c r="I8" s="21" t="str">
        <x:v>shell-profile — Création d’Ancre composée sur le viewport avec identité à gauche et cellule de départ à droite.</x:v>
      </x:c>
      <x:c r="J8" s="21" t="str">
        <x:v>Préserver le nom, sa limite de saisie, le profil local, la connexion cloud et le passage au prologue. Ne pas présenter une création d’avatar complète comme une fonction déjà fournie ici.</x:v>
      </x:c>
      <x:c r="K8" s="21" t="str">
        <x:v>La validation doit rester accessible avec le clavier virtuel ouvert. Le retour au titre ne doit pas créer une nouvelle partie accidentelle ni modifier les récompenses des compagnons.</x:v>
      </x:c>
      <x:c r="L8" s="21" t="str">
        <x:v>Responsive défini, rendu mobile réel non validé.</x:v>
      </x:c>
      <x:c r="M8" s="21" t="str">
        <x:v>src/components/IntroSequence.jsx
src/components/IntroImmersion.css</x:v>
      </x:c>
      <x:c r="N8" s="21" t="str">
        <x:v>shell-profile</x:v>
      </x:c>
      <x:c r="O8" s="21" t="str">
        <x:v>src/components/IntroSequence.jsx:670–728
src/App.jsx:2502–2533
src/index.css:6299–6398</x:v>
      </x:c>
      <x:c r="P8" s="27" t="str">
        <x:f>IFERROR(HYPERLINK("https://github.com/darknigthmare/multiverse-breach/blob/5f44cf344d1a9fbb0dbd7c899510b7dd16cf25d6/src/components/IntroSequence.jsx#L670-L728","Source de l’audit"),"Source de l’audit")</x:f>
        <x:v>Source de l’audit</x:v>
      </x:c>
      <x:c r="Q8" s="27" t="str">
        <x:f>IFERROR(HYPERLINK("https://github.com/darknigthmare/multiverse-breach/blob/codex/immersive-ui-audit-2026-10-25/src/components/IntroSequence.jsx","Réalisation actuelle"),"Réalisation actuelle")</x:f>
        <x:v>Réalisation actuelle</x:v>
      </x:c>
      <x:c r="R8" s="21" t="str">
        <x:v>Mettre l’Ancre et ses compagnons au premier plan dans une scène de présentation. Garder les champs nécessaires à proximité du personnage, et réserver le panneau de connexion à un choix clairement facultatif.</x:v>
      </x:c>
      <x:c r="S8" s="21" t="str">
        <x:v>Aucune observation de la nouvelle branche enregistrée.</x:v>
      </x:c>
      <x:c r="T8" s="21" t="str">
        <x:v>Non réalisé</x:v>
      </x:c>
    </x:row>
    <x:row r="9" ht="64" customHeight="1">
      <x:c r="A9" s="24" t="n">
        <x:v>3</x:v>
      </x:c>
      <x:c r="B9" s="22" t="str">
        <x:v>Prologue et transmissions A.R.C.A.</x:v>
      </x:c>
      <x:c r="C9" s="22" t="str">
        <x:v>P2</x:v>
      </x:c>
      <x:c r="D9" s="22" t="str">
        <x:f>IF(E9=0,"À traiter",IF(COUNTIFS(Actions!$A$7:$A$45,"shell-title",Actions!$D$7:$D$45,"À préciser")&gt;0,"À préciser",IF(COUNTIFS(Actions!$A$7:$A$45,"shell-title",Actions!$D$7:$D$45,"Partiel")+COUNTIFS(Actions!$A$7:$A$45,"shell-title",Actions!$D$7:$D$45,"À traiter")&gt;0,"Partiel",IF(COUNTIFS(Actions!$A$7:$A$45,"shell-title",Actions!$D$7:$D$45,"Implémenté")&gt;0,"Implémenté","Conservé"))))</x:f>
        <x:v>Conservé</x:v>
      </x:c>
      <x:c r="E9" s="30" t="n">
        <x:f>COUNTIFS(Actions!$A$7:$A$45,"shell-title")</x:f>
        <x:v>1</x:v>
      </x:c>
      <x:c r="F9" s="22" t="str">
        <x:f>IF(E9=0,"Non réalisés",IF(COUNTIFS(Actions!$A$7:$A$45,"shell-title",Actions!$E$7:$E$45,"Échec")&gt;0,"Échec",IF(COUNTIFS(Actions!$A$7:$A$45,"shell-title",Actions!$E$7:$E$45,"Bloqués")+COUNTIFS(Actions!$A$7:$A$45,"shell-title",Actions!$E$7:$E$45,"Partiels")&gt;0,"Partiels",IF(COUNTIFS(Actions!$A$7:$A$45,"shell-title",Actions!$E$7:$E$45,"Réussis")=E9,"Réussis",IF(COUNTIFS(Actions!$A$7:$A$45,"shell-title",Actions!$E$7:$E$45,"Réussis")&gt;0,"Partiels",IF(COUNTIFS(Actions!$A$7:$A$45,"shell-title",Actions!$E$7:$E$45,"Déclarés")&gt;0,"Déclarés","Non réalisés"))))))</x:f>
        <x:v>Réussis</x:v>
      </x:c>
      <x:c r="G9" s="22" t="str">
        <x:f>IF(T9&lt;&gt;"Non réalisé",T9,IF(E9=0,"Non réalisé",IF(COUNTIFS(Actions!$A$7:$A$45,"shell-title",Actions!$F$7:$F$45,"Échec")&gt;0,"Échec",IF(COUNTIFS(Actions!$A$7:$A$45,"shell-title",Actions!$F$7:$F$45,"Observé sur branche")=E9,"Observé sur branche",IF(COUNTIFS(Actions!$A$7:$A$45,"shell-title",Actions!$F$7:$F$45,"Observé sur branche")+COUNTIFS(Actions!$A$7:$A$45,"shell-title",Actions!$F$7:$F$45,"Partiel")&gt;0,"Partiel","Non réalisé")))))</x:f>
        <x:v>Non réalisé</x:v>
      </x:c>
      <x:c r="H9" s="22" t="str">
        <x:v>Le prologue comprend déjà plusieurs scènes, des images propres, une progression, Précédent, Suivant, Passer et une entrée dans le Nexus. Sa composition partage le fond plein viewport du titre.</x:v>
      </x:c>
      <x:c r="I9" s="22" t="str">
        <x:v>shell-title — Écran-titre plein écran, attract, rotation, Continuer, Nouvelle Trace, Collection, crédits et prologue conservés.</x:v>
      </x:c>
      <x:c r="J9" s="22" t="str">
        <x:v>Préserver toutes les scènes, le texte intégral, la relecture depuis le titre, la reprise et le saut du prologue. Une largeur limitée pour le texte reste souhaitable.</x:v>
      </x:c>
      <x:c r="K9" s="22" t="str">
        <x:v>Chaque scène doit rester lisible sans texte coupé sur les petits écrans. Passer, terminer et reprendre doivent conduire au même état de progression attendu, sans modifier les choix ou récompenses.</x:v>
      </x:c>
      <x:c r="L9" s="22" t="str">
        <x:v>Pas de nouveau parcours navigateur sur la branche au moment de ce relevé.</x:v>
      </x:c>
      <x:c r="M9" s="22" t="str">
        <x:v>src/components/IntroSequence.jsx
src/components/IntroImmersion.css</x:v>
      </x:c>
      <x:c r="N9" s="22" t="str">
        <x:v>shell-title</x:v>
      </x:c>
      <x:c r="O9" s="22" t="str">
        <x:v>src/components/IntroSequence.jsx:1–76
src/components/IntroSequence.jsx:732–785
src/App.jsx:2522–2526
src/index.css:8730–8738</x:v>
      </x:c>
      <x:c r="P9" s="26" t="str">
        <x:f>IFERROR(HYPERLINK("https://github.com/darknigthmare/multiverse-breach/blob/5f44cf344d1a9fbb0dbd7c899510b7dd16cf25d6/src/components/IntroSequence.jsx#L1-L76","Source de l’audit"),"Source de l’audit")</x:f>
        <x:v>Source de l’audit</x:v>
      </x:c>
      <x:c r="Q9" s="26" t="str">
        <x:f>IFERROR(HYPERLINK("https://github.com/darknigthmare/multiverse-breach/blob/codex/immersive-ui-audit-2026-10-25/src/components/IntroSequence.jsx","Réalisation actuelle"),"Réalisation actuelle")</x:f>
        <x:v>Réalisation actuelle</x:v>
      </x:c>
      <x:c r="R9" s="22" t="str">
        <x:v>Conserver ce parcours et améliorer le cadrage des illustrations, l’espace des sous-titres et la distinction entre récit et transmission. Les commandes techniques persistantes doivent rester discrètes pendant la lecture.</x:v>
      </x:c>
      <x:c r="S9" s="22" t="str">
        <x:v>Aucune observation de la nouvelle branche enregistrée.</x:v>
      </x:c>
      <x:c r="T9" s="22" t="str">
        <x:v>Non réalisé</x:v>
      </x:c>
    </x:row>
    <x:row r="10" ht="77" customHeight="1">
      <x:c r="A10" s="25" t="n">
        <x:v>4</x:v>
      </x:c>
      <x:c r="B10" s="21" t="str">
        <x:v>Options, crédits et confirmations du titre</x:v>
      </x:c>
      <x:c r="C10" s="21" t="str">
        <x:v>P1</x:v>
      </x:c>
      <x:c r="D10" s="21" t="str">
        <x:f>IF(E10=0,"À traiter",IF(COUNTIFS(Actions!$A$7:$A$45,"shell-options",Actions!$D$7:$D$45,"À préciser")+COUNTIFS(Actions!$A$7:$A$45,"APP-01",Actions!$D$7:$D$45,"À préciser")&gt;0,"À préciser",IF(COUNTIFS(Actions!$A$7:$A$45,"shell-options",Actions!$D$7:$D$45,"Partiel")+COUNTIFS(Actions!$A$7:$A$45,"APP-01",Actions!$D$7:$D$45,"Partiel")+COUNTIFS(Actions!$A$7:$A$45,"shell-options",Actions!$D$7:$D$45,"À traiter")+COUNTIFS(Actions!$A$7:$A$45,"APP-01",Actions!$D$7:$D$45,"À traiter")&gt;0,"Partiel",IF(COUNTIFS(Actions!$A$7:$A$45,"shell-options",Actions!$D$7:$D$45,"Implémenté")+COUNTIFS(Actions!$A$7:$A$45,"APP-01",Actions!$D$7:$D$45,"Implémenté")&gt;0,"Implémenté","Conservé"))))</x:f>
        <x:v>Implémenté</x:v>
      </x:c>
      <x:c r="E10" s="31" t="n">
        <x:f>COUNTIFS(Actions!$A$7:$A$45,"shell-options")+COUNTIFS(Actions!$A$7:$A$45,"APP-01")</x:f>
        <x:v>2</x:v>
      </x:c>
      <x:c r="F10" s="21" t="str">
        <x:f>IF(E10=0,"Non réalisés",IF(COUNTIFS(Actions!$A$7:$A$45,"shell-options",Actions!$E$7:$E$45,"Échec")+COUNTIFS(Actions!$A$7:$A$45,"APP-01",Actions!$E$7:$E$45,"Échec")&gt;0,"Échec",IF(COUNTIFS(Actions!$A$7:$A$45,"shell-options",Actions!$E$7:$E$45,"Bloqués")+COUNTIFS(Actions!$A$7:$A$45,"APP-01",Actions!$E$7:$E$45,"Bloqués")+COUNTIFS(Actions!$A$7:$A$45,"shell-options",Actions!$E$7:$E$45,"Partiels")+COUNTIFS(Actions!$A$7:$A$45,"APP-01",Actions!$E$7:$E$45,"Partiels")&gt;0,"Partiels",IF(COUNTIFS(Actions!$A$7:$A$45,"shell-options",Actions!$E$7:$E$45,"Réussis")+COUNTIFS(Actions!$A$7:$A$45,"APP-01",Actions!$E$7:$E$45,"Réussis")=E10,"Réussis",IF(COUNTIFS(Actions!$A$7:$A$45,"shell-options",Actions!$E$7:$E$45,"Réussis")+COUNTIFS(Actions!$A$7:$A$45,"APP-01",Actions!$E$7:$E$45,"Réussis")&gt;0,"Partiels",IF(COUNTIFS(Actions!$A$7:$A$45,"shell-options",Actions!$E$7:$E$45,"Déclarés")+COUNTIFS(Actions!$A$7:$A$45,"APP-01",Actions!$E$7:$E$45,"Déclarés")&gt;0,"Déclarés","Non réalisés"))))))</x:f>
        <x:v>Réussis</x:v>
      </x:c>
      <x:c r="G10" s="21" t="str">
        <x:f>IF(T10&lt;&gt;"Non réalisé",T10,IF(E10=0,"Non réalisé",IF(COUNTIFS(Actions!$A$7:$A$45,"shell-options",Actions!$F$7:$F$45,"Échec")+COUNTIFS(Actions!$A$7:$A$45,"APP-01",Actions!$F$7:$F$45,"Échec")&gt;0,"Échec",IF(COUNTIFS(Actions!$A$7:$A$45,"shell-options",Actions!$F$7:$F$45,"Observé sur branche")+COUNTIFS(Actions!$A$7:$A$45,"APP-01",Actions!$F$7:$F$45,"Observé sur branche")=E10,"Observé sur branche",IF(COUNTIFS(Actions!$A$7:$A$45,"shell-options",Actions!$F$7:$F$45,"Observé sur branche")+COUNTIFS(Actions!$A$7:$A$45,"APP-01",Actions!$F$7:$F$45,"Observé sur branche")+COUNTIFS(Actions!$A$7:$A$45,"shell-options",Actions!$F$7:$F$45,"Partiel")+COUNTIFS(Actions!$A$7:$A$45,"APP-01",Actions!$F$7:$F$45,"Partiel")&gt;0,"Partiel","Non réalisé")))))</x:f>
        <x:v>Non réalisé</x:v>
      </x:c>
      <x:c r="H10" s="21" t="str">
        <x:v>Le menu Options propose déjà langue, volumes musique et effets, mute et variante événementielle. Les dialogues de crédits et de nouvelle trace existent et gèrent Échap, le focus et l’arrière-plan inactif.</x:v>
      </x:c>
      <x:c r="I10" s="21" t="str">
        <x:v>shell-options — GameDisplaySettings intégré aux options du titre.
APP-01 — Préférences d’affichage persistantes séparées de la progression : texte, HUD, marge, contraste, mouvement.</x:v>
      </x:c>
      <x:c r="J10" s="21" t="str">
        <x:v>Préserver les volumes séparés, les choix linguistiques, les événements, les crédits et la confirmation de nouvelle partie. La réduction des animations suivant la préférence système existe déjà.</x:v>
      </x:c>
      <x:c r="K10" s="21" t="str">
        <x:v>Changer un réglage ne doit pas relancer une partie. Les menus doivent fonctionner au clavier, conserver le focus, rendre l’annulation claire et proposer une sortie sûre du plein écran système.</x:v>
      </x:c>
      <x:c r="L10" s="21" t="str">
        <x:v>Plein écran système et paramètres partagés sont implémentés par le lot App.
Aucun test navigateur de l’API fullscreen dans ce relevé.
La mise à l’échelle du texte vise les interfaces DOM ; les textes dessinés dans les anciens moteurs canvas conservent leur taille logique.
Validation visuelle sur différentes résolutions en cours.</x:v>
      </x:c>
      <x:c r="M10" s="21" t="str">
        <x:v>src/components/IntroSequence.jsx
src/components/IntroImmersion.css
src/components/GameDisplaySettings.jsx
src/game/displayPreferences.js
src/components/game-system.css</x:v>
      </x:c>
      <x:c r="N10" s="21" t="str">
        <x:v>shell-options, APP-01</x:v>
      </x:c>
      <x:c r="O10" s="21" t="str">
        <x:v>src/components/IntroSequence.jsx:94–310
src/index.css:7985–8008
src/index.css:8984–8997</x:v>
      </x:c>
      <x:c r="P10" s="27" t="str">
        <x:f>IFERROR(HYPERLINK("https://github.com/darknigthmare/multiverse-breach/blob/5f44cf344d1a9fbb0dbd7c899510b7dd16cf25d6/src/components/IntroSequence.jsx#L94-L310","Source de l’audit"),"Source de l’audit")</x:f>
        <x:v>Source de l’audit</x:v>
      </x:c>
      <x:c r="Q10" s="27" t="str">
        <x:f>IFERROR(HYPERLINK("https://github.com/darknigthmare/multiverse-breach/blob/codex/immersive-ui-audit-2026-10-25/src/components/IntroSequence.jsx","Réalisation actuelle"),"Réalisation actuelle")</x:f>
        <x:v>Réalisation actuelle</x:v>
      </x:c>
      <x:c r="R10" s="21" t="str">
        <x:v>Ajouter des rubriques Affichage, HUD, commandes et accessibilité, puis rendre ces réglages accessibles depuis la pause. Conserver des fenêtres centrées pour les confirmations courtes ; un écran complet convient aux réglages nombreux.</x:v>
      </x:c>
      <x:c r="S10" s="21" t="str">
        <x:v>Aucune observation de la nouvelle branche enregistrée.</x:v>
      </x:c>
      <x:c r="T10" s="21" t="str">
        <x:v>Non réalisé</x:v>
      </x:c>
    </x:row>
    <x:row r="11" ht="116" customHeight="1">
      <x:c r="A11" s="24" t="n">
        <x:v>5</x:v>
      </x:c>
      <x:c r="B11" s="22" t="str">
        <x:v>Compte, synchronisation et sauvegardes</x:v>
      </x:c>
      <x:c r="C11" s="22" t="str">
        <x:v>P1</x:v>
      </x:c>
      <x:c r="D11" s="22" t="str">
        <x:f>IF(E11=0,"À traiter",IF(COUNTIFS(Actions!$A$7:$A$45,"shell-account",Actions!$D$7:$D$45,"À préciser")+COUNTIFS(Actions!$A$7:$A$45,"APP-02",Actions!$D$7:$D$45,"À préciser")+COUNTIFS(Actions!$A$7:$A$45,"APP-03",Actions!$D$7:$D$45,"À préciser")&gt;0,"À préciser",IF(COUNTIFS(Actions!$A$7:$A$45,"shell-account",Actions!$D$7:$D$45,"Partiel")+COUNTIFS(Actions!$A$7:$A$45,"APP-02",Actions!$D$7:$D$45,"Partiel")+COUNTIFS(Actions!$A$7:$A$45,"APP-03",Actions!$D$7:$D$45,"Partiel")+COUNTIFS(Actions!$A$7:$A$45,"shell-account",Actions!$D$7:$D$45,"À traiter")+COUNTIFS(Actions!$A$7:$A$45,"APP-02",Actions!$D$7:$D$45,"À traiter")+COUNTIFS(Actions!$A$7:$A$45,"APP-03",Actions!$D$7:$D$45,"À traiter")&gt;0,"Partiel",IF(COUNTIFS(Actions!$A$7:$A$45,"shell-account",Actions!$D$7:$D$45,"Implémenté")+COUNTIFS(Actions!$A$7:$A$45,"APP-02",Actions!$D$7:$D$45,"Implémenté")+COUNTIFS(Actions!$A$7:$A$45,"APP-03",Actions!$D$7:$D$45,"Implémenté")&gt;0,"Implémenté","Conservé"))))</x:f>
        <x:v>Implémenté</x:v>
      </x:c>
      <x:c r="E11" s="30" t="n">
        <x:f>COUNTIFS(Actions!$A$7:$A$45,"shell-account")+COUNTIFS(Actions!$A$7:$A$45,"APP-02")+COUNTIFS(Actions!$A$7:$A$45,"APP-03")</x:f>
        <x:v>3</x:v>
      </x:c>
      <x:c r="F11" s="22" t="str">
        <x:f>IF(E11=0,"Non réalisés",IF(COUNTIFS(Actions!$A$7:$A$45,"shell-account",Actions!$E$7:$E$45,"Échec")+COUNTIFS(Actions!$A$7:$A$45,"APP-02",Actions!$E$7:$E$45,"Échec")+COUNTIFS(Actions!$A$7:$A$45,"APP-03",Actions!$E$7:$E$45,"Échec")&gt;0,"Échec",IF(COUNTIFS(Actions!$A$7:$A$45,"shell-account",Actions!$E$7:$E$45,"Bloqués")+COUNTIFS(Actions!$A$7:$A$45,"APP-02",Actions!$E$7:$E$45,"Bloqués")+COUNTIFS(Actions!$A$7:$A$45,"APP-03",Actions!$E$7:$E$45,"Bloqués")+COUNTIFS(Actions!$A$7:$A$45,"shell-account",Actions!$E$7:$E$45,"Partiels")+COUNTIFS(Actions!$A$7:$A$45,"APP-02",Actions!$E$7:$E$45,"Partiels")+COUNTIFS(Actions!$A$7:$A$45,"APP-03",Actions!$E$7:$E$45,"Partiels")&gt;0,"Partiels",IF(COUNTIFS(Actions!$A$7:$A$45,"shell-account",Actions!$E$7:$E$45,"Réussis")+COUNTIFS(Actions!$A$7:$A$45,"APP-02",Actions!$E$7:$E$45,"Réussis")+COUNTIFS(Actions!$A$7:$A$45,"APP-03",Actions!$E$7:$E$45,"Réussis")=E11,"Réussis",IF(COUNTIFS(Actions!$A$7:$A$45,"shell-account",Actions!$E$7:$E$45,"Réussis")+COUNTIFS(Actions!$A$7:$A$45,"APP-02",Actions!$E$7:$E$45,"Réussis")+COUNTIFS(Actions!$A$7:$A$45,"APP-03",Actions!$E$7:$E$45,"Réussis")&gt;0,"Partiels",IF(COUNTIFS(Actions!$A$7:$A$45,"shell-account",Actions!$E$7:$E$45,"Déclarés")+COUNTIFS(Actions!$A$7:$A$45,"APP-02",Actions!$E$7:$E$45,"Déclarés")+COUNTIFS(Actions!$A$7:$A$45,"APP-03",Actions!$E$7:$E$45,"Déclarés")&gt;0,"Déclarés","Non réalisés"))))))</x:f>
        <x:v>Réussis</x:v>
      </x:c>
      <x:c r="G11" s="22" t="str">
        <x:f>IF(T11&lt;&gt;"Non réalisé",T11,IF(E11=0,"Non réalisé",IF(COUNTIFS(Actions!$A$7:$A$45,"shell-account",Actions!$F$7:$F$45,"Échec")+COUNTIFS(Actions!$A$7:$A$45,"APP-02",Actions!$F$7:$F$45,"Échec")+COUNTIFS(Actions!$A$7:$A$45,"APP-03",Actions!$F$7:$F$45,"Échec")&gt;0,"Échec",IF(COUNTIFS(Actions!$A$7:$A$45,"shell-account",Actions!$F$7:$F$45,"Observé sur branche")+COUNTIFS(Actions!$A$7:$A$45,"APP-02",Actions!$F$7:$F$45,"Observé sur branche")+COUNTIFS(Actions!$A$7:$A$45,"APP-03",Actions!$F$7:$F$45,"Observé sur branche")=E11,"Observé sur branche",IF(COUNTIFS(Actions!$A$7:$A$45,"shell-account",Actions!$F$7:$F$45,"Observé sur branche")+COUNTIFS(Actions!$A$7:$A$45,"APP-02",Actions!$F$7:$F$45,"Observé sur branche")+COUNTIFS(Actions!$A$7:$A$45,"APP-03",Actions!$F$7:$F$45,"Observé sur branche")+COUNTIFS(Actions!$A$7:$A$45,"shell-account",Actions!$F$7:$F$45,"Partiel")+COUNTIFS(Actions!$A$7:$A$45,"APP-02",Actions!$F$7:$F$45,"Partiel")+COUNTIFS(Actions!$A$7:$A$45,"APP-03",Actions!$F$7:$F$45,"Partiel")&gt;0,"Partiel","Non réalisé")))))</x:f>
        <x:v>Non réalisé</x:v>
      </x:c>
      <x:c r="H11" s="22" t="str">
        <x:v>Le compte flottant n’apparaît plus que dans le hub et le portail boutique. Les outils locaux sont rangés dans un volet, mais export, import, purge et conflits cloud utilisent encore des dialogues du navigateur.</x:v>
      </x:c>
      <x:c r="I11" s="22" t="str">
        <x:v>shell-account — Compte et sauvegardes affichés dans un tiroir interne avec arrière-plan inactif, Échap et retour du focus.
APP-02 — Audio, connexion, compte et sauvegardes regroupés dans le menu Système pour dégager les scènes.
APP-03 — Après une confirmation asynchrone, contrôle de la session cloud, de la sauvegarde locale et de toute progression survenue pendant l’attente.</x:v>
      </x:c>
      <x:c r="J11" s="22" t="str">
        <x:v>Conserver connexion, inscription, récupération, renvoi de confirmation, synchronisation, copie de secours, export, import et purge. Les protections contre l’écrasement et les conflits doivent rester intactes.</x:v>
      </x:c>
      <x:c r="K11" s="22" t="str">
        <x:v>Une annulation doit préserver la progression. Les messages doivent correspondre à l’action réelle, le remplacement d’une sauvegarde doit rester explicite et les erreurs doivent être lisibles sans masquer la récupération.</x:v>
      </x:c>
      <x:c r="L11" s="22" t="str">
        <x:v>Synchronisation cloud et envoi réel d’emails non testés.
Confirmations et prévention des conflits asynchrones traitées par le lot App.
La synchronisation cloud réelle n’est pas exécutée avec un compte utilisateur.</x:v>
      </x:c>
      <x:c r="M11" s="22" t="str">
        <x:v>src/components/AuthPanel.jsx
src/components/AuthImmersion.css
src/components/collection/ArchiveDrawer.jsx
src/App.jsx
src/components/GameSystemMenu.jsx
src/components/GameSystemDialog.jsx
src/game/gameDialogQueue.js
scripts/cloudReconciliationRace.test.mjs</x:v>
      </x:c>
      <x:c r="N11" s="22" t="str">
        <x:v>shell-account, APP-02, APP-03</x:v>
      </x:c>
      <x:c r="O11" s="22" t="str">
        <x:v>src/App.jsx:2151–2214
src/App.jsx:2274–2285
src/App.jsx:2408–2420
src/App.jsx:2482–2498
src/components/AuthPanel.jsx:88–245</x:v>
      </x:c>
      <x:c r="P11" s="26" t="str">
        <x:f>IFERROR(HYPERLINK("https://github.com/darknigthmare/multiverse-breach/blob/5f44cf344d1a9fbb0dbd7c899510b7dd16cf25d6/src/App.jsx#L2151-L2214","Source de l’audit"),"Source de l’audit")</x:f>
        <x:v>Source de l’audit</x:v>
      </x:c>
      <x:c r="Q11" s="26" t="str">
        <x:f>IFERROR(HYPERLINK("https://github.com/darknigthmare/multiverse-breach/blob/codex/immersive-ui-audit-2026-10-25/src/components/AuthPanel.jsx","Réalisation actuelle"),"Réalisation actuelle")</x:f>
        <x:v>Réalisation actuelle</x:v>
      </x:c>
      <x:c r="R11" s="22" t="str">
        <x:v>Présenter ces opérations dans un écran Compte et sauvegardes commun au menu système. Employer des libellés explicites, montrer le statut local ou cloud et intégrer les confirmations dans l’habillage du jeu.</x:v>
      </x:c>
      <x:c r="S11" s="22" t="str">
        <x:v>Aucune observation de la nouvelle branche enregistrée.</x:v>
      </x:c>
      <x:c r="T11" s="22" t="str">
        <x:v>Non réalisé</x:v>
      </x:c>
    </x:row>
    <x:row r="12" ht="285" customHeight="1">
      <x:c r="A12" s="25" t="n">
        <x:v>6</x:v>
      </x:c>
      <x:c r="B12" s="21" t="str">
        <x:v>Hub et navigation générale</x:v>
      </x:c>
      <x:c r="C12" s="21" t="str">
        <x:v>P1</x:v>
      </x:c>
      <x:c r="D12" s="21" t="str">
        <x:f>IF(E12=0,"À traiter",IF(COUNTIFS(Actions!$A$7:$A$45,"HUB-01",Actions!$D$7:$D$45,"À préciser")+COUNTIFS(Actions!$A$7:$A$45,"HUB-02",Actions!$D$7:$D$45,"À préciser")+COUNTIFS(Actions!$A$7:$A$45,"HUB-11",Actions!$D$7:$D$45,"À préciser")+COUNTIFS(Actions!$A$7:$A$45,"HUB-12",Actions!$D$7:$D$45,"À préciser")+COUNTIFS(Actions!$A$7:$A$45,"APP-02",Actions!$D$7:$D$45,"À préciser")&gt;0,"À préciser",IF(COUNTIFS(Actions!$A$7:$A$45,"HUB-01",Actions!$D$7:$D$45,"Partiel")+COUNTIFS(Actions!$A$7:$A$45,"HUB-02",Actions!$D$7:$D$45,"Partiel")+COUNTIFS(Actions!$A$7:$A$45,"HUB-11",Actions!$D$7:$D$45,"Partiel")+COUNTIFS(Actions!$A$7:$A$45,"HUB-12",Actions!$D$7:$D$45,"Partiel")+COUNTIFS(Actions!$A$7:$A$45,"APP-02",Actions!$D$7:$D$45,"Partiel")+COUNTIFS(Actions!$A$7:$A$45,"HUB-01",Actions!$D$7:$D$45,"À traiter")+COUNTIFS(Actions!$A$7:$A$45,"HUB-02",Actions!$D$7:$D$45,"À traiter")+COUNTIFS(Actions!$A$7:$A$45,"HUB-11",Actions!$D$7:$D$45,"À traiter")+COUNTIFS(Actions!$A$7:$A$45,"HUB-12",Actions!$D$7:$D$45,"À traiter")+COUNTIFS(Actions!$A$7:$A$45,"APP-02",Actions!$D$7:$D$45,"À traiter")&gt;0,"Partiel",IF(COUNTIFS(Actions!$A$7:$A$45,"HUB-01",Actions!$D$7:$D$45,"Implémenté")+COUNTIFS(Actions!$A$7:$A$45,"HUB-02",Actions!$D$7:$D$45,"Implémenté")+COUNTIFS(Actions!$A$7:$A$45,"HUB-11",Actions!$D$7:$D$45,"Implémenté")+COUNTIFS(Actions!$A$7:$A$45,"HUB-12",Actions!$D$7:$D$45,"Implémenté")+COUNTIFS(Actions!$A$7:$A$45,"APP-02",Actions!$D$7:$D$45,"Implémenté")&gt;0,"Implémenté","Conservé"))))</x:f>
        <x:v>Implémenté</x:v>
      </x:c>
      <x:c r="E12" s="31" t="n">
        <x:f>COUNTIFS(Actions!$A$7:$A$45,"HUB-01")+COUNTIFS(Actions!$A$7:$A$45,"HUB-02")+COUNTIFS(Actions!$A$7:$A$45,"HUB-11")+COUNTIFS(Actions!$A$7:$A$45,"HUB-12")+COUNTIFS(Actions!$A$7:$A$45,"APP-02")</x:f>
        <x:v>5</x:v>
      </x:c>
      <x:c r="F12" s="21" t="str">
        <x:f>IF(E12=0,"Non réalisés",IF(COUNTIFS(Actions!$A$7:$A$45,"HUB-01",Actions!$E$7:$E$45,"Échec")+COUNTIFS(Actions!$A$7:$A$45,"HUB-02",Actions!$E$7:$E$45,"Échec")+COUNTIFS(Actions!$A$7:$A$45,"HUB-11",Actions!$E$7:$E$45,"Échec")+COUNTIFS(Actions!$A$7:$A$45,"HUB-12",Actions!$E$7:$E$45,"Échec")+COUNTIFS(Actions!$A$7:$A$45,"APP-02",Actions!$E$7:$E$45,"Échec")&gt;0,"Échec",IF(COUNTIFS(Actions!$A$7:$A$45,"HUB-01",Actions!$E$7:$E$45,"Bloqués")+COUNTIFS(Actions!$A$7:$A$45,"HUB-02",Actions!$E$7:$E$45,"Bloqués")+COUNTIFS(Actions!$A$7:$A$45,"HUB-11",Actions!$E$7:$E$45,"Bloqués")+COUNTIFS(Actions!$A$7:$A$45,"HUB-12",Actions!$E$7:$E$45,"Bloqués")+COUNTIFS(Actions!$A$7:$A$45,"APP-02",Actions!$E$7:$E$45,"Bloqués")+COUNTIFS(Actions!$A$7:$A$45,"HUB-01",Actions!$E$7:$E$45,"Partiels")+COUNTIFS(Actions!$A$7:$A$45,"HUB-02",Actions!$E$7:$E$45,"Partiels")+COUNTIFS(Actions!$A$7:$A$45,"HUB-11",Actions!$E$7:$E$45,"Partiels")+COUNTIFS(Actions!$A$7:$A$45,"HUB-12",Actions!$E$7:$E$45,"Partiels")+COUNTIFS(Actions!$A$7:$A$45,"APP-02",Actions!$E$7:$E$45,"Partiels")&gt;0,"Partiels",IF(COUNTIFS(Actions!$A$7:$A$45,"HUB-01",Actions!$E$7:$E$45,"Réussis")+COUNTIFS(Actions!$A$7:$A$45,"HUB-02",Actions!$E$7:$E$45,"Réussis")+COUNTIFS(Actions!$A$7:$A$45,"HUB-11",Actions!$E$7:$E$45,"Réussis")+COUNTIFS(Actions!$A$7:$A$45,"HUB-12",Actions!$E$7:$E$45,"Réussis")+COUNTIFS(Actions!$A$7:$A$45,"APP-02",Actions!$E$7:$E$45,"Réussis")=E12,"Réussis",IF(COUNTIFS(Actions!$A$7:$A$45,"HUB-01",Actions!$E$7:$E$45,"Réussis")+COUNTIFS(Actions!$A$7:$A$45,"HUB-02",Actions!$E$7:$E$45,"Réussis")+COUNTIFS(Actions!$A$7:$A$45,"HUB-11",Actions!$E$7:$E$45,"Réussis")+COUNTIFS(Actions!$A$7:$A$45,"HUB-12",Actions!$E$7:$E$45,"Réussis")+COUNTIFS(Actions!$A$7:$A$45,"APP-02",Actions!$E$7:$E$45,"Réussis")&gt;0,"Partiels",IF(COUNTIFS(Actions!$A$7:$A$45,"HUB-01",Actions!$E$7:$E$45,"Déclarés")+COUNTIFS(Actions!$A$7:$A$45,"HUB-02",Actions!$E$7:$E$45,"Déclarés")+COUNTIFS(Actions!$A$7:$A$45,"HUB-11",Actions!$E$7:$E$45,"Déclarés")+COUNTIFS(Actions!$A$7:$A$45,"HUB-12",Actions!$E$7:$E$45,"Déclarés")+COUNTIFS(Actions!$A$7:$A$45,"APP-02",Actions!$E$7:$E$45,"Déclarés")&gt;0,"Déclarés","Non réalisés"))))))</x:f>
        <x:v>Réussis</x:v>
      </x:c>
      <x:c r="G12" s="21" t="str">
        <x:f>IF(T12&lt;&gt;"Non réalisé",T12,IF(E12=0,"Non réalisé",IF(COUNTIFS(Actions!$A$7:$A$45,"HUB-01",Actions!$F$7:$F$45,"Échec")+COUNTIFS(Actions!$A$7:$A$45,"HUB-02",Actions!$F$7:$F$45,"Échec")+COUNTIFS(Actions!$A$7:$A$45,"HUB-11",Actions!$F$7:$F$45,"Échec")+COUNTIFS(Actions!$A$7:$A$45,"HUB-12",Actions!$F$7:$F$45,"Échec")+COUNTIFS(Actions!$A$7:$A$45,"APP-02",Actions!$F$7:$F$45,"Échec")&gt;0,"Échec",IF(COUNTIFS(Actions!$A$7:$A$45,"HUB-01",Actions!$F$7:$F$45,"Observé sur branche")+COUNTIFS(Actions!$A$7:$A$45,"HUB-02",Actions!$F$7:$F$45,"Observé sur branche")+COUNTIFS(Actions!$A$7:$A$45,"HUB-11",Actions!$F$7:$F$45,"Observé sur branche")+COUNTIFS(Actions!$A$7:$A$45,"HUB-12",Actions!$F$7:$F$45,"Observé sur branche")+COUNTIFS(Actions!$A$7:$A$45,"APP-02",Actions!$F$7:$F$45,"Observé sur branche")=E12,"Observé sur branche",IF(COUNTIFS(Actions!$A$7:$A$45,"HUB-01",Actions!$F$7:$F$45,"Observé sur branche")+COUNTIFS(Actions!$A$7:$A$45,"HUB-02",Actions!$F$7:$F$45,"Observé sur branche")+COUNTIFS(Actions!$A$7:$A$45,"HUB-11",Actions!$F$7:$F$45,"Observé sur branche")+COUNTIFS(Actions!$A$7:$A$45,"HUB-12",Actions!$F$7:$F$45,"Observé sur branche")+COUNTIFS(Actions!$A$7:$A$45,"APP-02",Actions!$F$7:$F$45,"Observé sur branche")+COUNTIFS(Actions!$A$7:$A$45,"HUB-01",Actions!$F$7:$F$45,"Partiel")+COUNTIFS(Actions!$A$7:$A$45,"HUB-02",Actions!$F$7:$F$45,"Partiel")+COUNTIFS(Actions!$A$7:$A$45,"HUB-11",Actions!$F$7:$F$45,"Partiel")+COUNTIFS(Actions!$A$7:$A$45,"HUB-12",Actions!$F$7:$F$45,"Partiel")+COUNTIFS(Actions!$A$7:$A$45,"APP-02",Actions!$F$7:$F$45,"Partiel")&gt;0,"Partiel","Non réalisé")))))</x:f>
        <x:v>Non réalisé</x:v>
      </x:c>
      <x:c r="H12" s="21" t="str">
        <x:v>Le hub possède déjà cinq groupes cohérents, quinze onglets internes et un accès séparé au portail. Hors partie, plusieurs bandes se succèdent : titre, ressources, directive, métriques, navigation et filtre média.</x:v>
      </x:c>
      <x:c r="I12" s="21" t="str">
        <x:v>HUB-01 — Shell de jeu en grille 100dvh : navigation latérale compacte, en-tête de ressources, filtres contextuels et espace principal borné. Navigation mobile sur deux rails horizontaux.
HUB-02 — Les quatre blocs de progression auparavant conditionnés par legacyStoryMeta sont déplacés, via une transformation AST contrôlée, vers un Registre accessible depuis Directive &amp; cycle.
HUB-11 — 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
HUB-12 — Revue de code après premier commit : les jauges et les dix commandes Extinction partagent désormais un quai à hauteur naturelle. Même principe pour la cache Course et ses commandes ; leur retour à la ligne ne provoque plus de chevauchement lié à des offsets fixes.
APP-02 — Audio, connexion, compte et sauvegardes regroupés dans le menu Système pour dégager les scènes.</x:v>
      </x:c>
      <x:c r="J12" s="21" t="str">
        <x:v>Conserver chaque destination, les monnaies utiles, les métriques de cycle, les filtres et les messages Nexus. Les sessions dédiées cachent déjà les bandes générales pendant certains modes.</x:v>
      </x:c>
      <x:c r="K12" s="21" t="str">
        <x:v>Une matrice de correspondance doit garantir que chaque contrôle actuel reste accessible. Le passage entre sections doit garder sélection, filtres et progression sans obliger à reparcourir une longue page.</x:v>
      </x:c>
      <x:c r="L12" s="21" t="str">
        <x:v>Recette visuelle Vercel encore nécessaire, notamment 390px, 1363px et ultralarge.
Les catalogues et cartes existants conservent leur contenu et leur logique ; le travail ne crée pas de nouveaux décors propres à chaque écran secondaire.
Contrôle visuel et activation manuelle de chaque dossier en preview encore à réaliser ; les tests de progression existants restent verts.
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
La vérification des trois dimensions est une vérification mathématique des overlays dessinés et une revue de CSS ; aucun rendu navigateur des changements n’est revendiqué.
Le texte des scènes et les jauges historiques dessinées par les autres moteurs ne deviennent pas tous vectoriels ni uniformément redimensionnables. La recette preview doit vérifier aussi les préférences agrandies.
Le guide de Cité et les libellés longs doivent encore être contrôlés sur les faibles hauteurs de viewport.
La synchronisation cloud réelle n’est pas exécutée avec un compte utilisateur.</x:v>
      </x:c>
      <x:c r="M12" s="21" t="str">
        <x:v>src/components/HubScreen.jsx
src/components/HubImmersion.css
src/components/ImmersiveDrawer.jsx
src/game/immersiveHubState.js
scripts/immersiveHubState.test.mjs
src/components/RaceMode.jsx
src/components/useSceneViewport.js
scripts/nonCombatTrial.test.mjs
src/App.jsx
src/components/GameSystemMenu.jsx
src/components/GameSystemDialog.jsx
src/game/gameDialogQueue.js</x:v>
      </x:c>
      <x:c r="N12" s="21" t="str">
        <x:v>HUB-01, HUB-02, HUB-11, HUB-12, APP-02</x:v>
      </x:c>
      <x:c r="O12" s="21" t="str">
        <x:v>src/components/HubScreen.jsx:1277–1340
src/components/HubScreen.jsx:9115–9310
src/index.css:8594–8664
src/index.css:8158–8180</x:v>
      </x:c>
      <x:c r="P12" s="27" t="str">
        <x:f>IFERROR(HYPERLINK("https://github.com/darknigthmare/multiverse-breach/blob/5f44cf344d1a9fbb0dbd7c899510b7dd16cf25d6/src/components/HubScreen.jsx#L1277-L1340","Source de l’audit"),"Source de l’audit")</x:f>
        <x:v>Source de l’audit</x:v>
      </x:c>
      <x:c r="Q12" s="27" t="str">
        <x:f>IFERROR(HYPERLINK("https://github.com/darknigthmare/multiverse-breach/blob/codex/immersive-ui-audit-2026-10-25/src/components/HubScreen.jsx","Réalisation actuelle"),"Réalisation actuelle")</x:f>
        <x:v>Réalisation actuelle</x:v>
      </x:c>
      <x:c r="R12" s="21" t="str">
        <x:v>Garder cette arborescence, mais composer une coque de jeu occupant le viewport avec navigation latérale ou basse et décor contextuel. Réserver la directive complète à l’accueil ou aux opérations ; ailleurs, utiliser un rappel discret.</x:v>
      </x:c>
      <x:c r="S12" s="21" t="str">
        <x:v>Aucune observation de la nouvelle branche enregistrée.</x:v>
      </x:c>
      <x:c r="T12" s="21" t="str">
        <x:v>Non réalisé</x:v>
      </x:c>
    </x:row>
    <x:row r="13" ht="155" customHeight="1">
      <x:c r="A13" s="24" t="n">
        <x:v>7</x:v>
      </x:c>
      <x:c r="B13" s="22" t="str">
        <x:v>Index des opérations et catégories de missions</x:v>
      </x:c>
      <x:c r="C13" s="22" t="str">
        <x:v>P1</x:v>
      </x:c>
      <x:c r="D13" s="22" t="str">
        <x:f>IF(E13=0,"À traiter",IF(COUNTIFS(Actions!$A$7:$A$45,"HUB-01",Actions!$D$7:$D$45,"À préciser")+COUNTIFS(Actions!$A$7:$A$45,"HUB-11",Actions!$D$7:$D$45,"À préciser")&gt;0,"À préciser",IF(COUNTIFS(Actions!$A$7:$A$45,"HUB-01",Actions!$D$7:$D$45,"Partiel")+COUNTIFS(Actions!$A$7:$A$45,"HUB-11",Actions!$D$7:$D$45,"Partiel")+COUNTIFS(Actions!$A$7:$A$45,"HUB-01",Actions!$D$7:$D$45,"À traiter")+COUNTIFS(Actions!$A$7:$A$45,"HUB-11",Actions!$D$7:$D$45,"À traiter")&gt;0,"Partiel",IF(COUNTIFS(Actions!$A$7:$A$45,"HUB-01",Actions!$D$7:$D$45,"Implémenté")+COUNTIFS(Actions!$A$7:$A$45,"HUB-11",Actions!$D$7:$D$45,"Implémenté")&gt;0,"Implémenté","Conservé"))))</x:f>
        <x:v>Implémenté</x:v>
      </x:c>
      <x:c r="E13" s="30" t="n">
        <x:f>COUNTIFS(Actions!$A$7:$A$45,"HUB-01")+COUNTIFS(Actions!$A$7:$A$45,"HUB-11")</x:f>
        <x:v>2</x:v>
      </x:c>
      <x:c r="F13" s="22" t="str">
        <x:f>IF(E13=0,"Non réalisés",IF(COUNTIFS(Actions!$A$7:$A$45,"HUB-01",Actions!$E$7:$E$45,"Échec")+COUNTIFS(Actions!$A$7:$A$45,"HUB-11",Actions!$E$7:$E$45,"Échec")&gt;0,"Échec",IF(COUNTIFS(Actions!$A$7:$A$45,"HUB-01",Actions!$E$7:$E$45,"Bloqués")+COUNTIFS(Actions!$A$7:$A$45,"HUB-11",Actions!$E$7:$E$45,"Bloqués")+COUNTIFS(Actions!$A$7:$A$45,"HUB-01",Actions!$E$7:$E$45,"Partiels")+COUNTIFS(Actions!$A$7:$A$45,"HUB-11",Actions!$E$7:$E$45,"Partiels")&gt;0,"Partiels",IF(COUNTIFS(Actions!$A$7:$A$45,"HUB-01",Actions!$E$7:$E$45,"Réussis")+COUNTIFS(Actions!$A$7:$A$45,"HUB-11",Actions!$E$7:$E$45,"Réussis")=E13,"Réussis",IF(COUNTIFS(Actions!$A$7:$A$45,"HUB-01",Actions!$E$7:$E$45,"Réussis")+COUNTIFS(Actions!$A$7:$A$45,"HUB-11",Actions!$E$7:$E$45,"Réussis")&gt;0,"Partiels",IF(COUNTIFS(Actions!$A$7:$A$45,"HUB-01",Actions!$E$7:$E$45,"Déclarés")+COUNTIFS(Actions!$A$7:$A$45,"HUB-11",Actions!$E$7:$E$45,"Déclarés")&gt;0,"Déclarés","Non réalisés"))))))</x:f>
        <x:v>Réussis</x:v>
      </x:c>
      <x:c r="G13" s="22" t="str">
        <x:f>IF(T13&lt;&gt;"Non réalisé",T13,IF(E13=0,"Non réalisé",IF(COUNTIFS(Actions!$A$7:$A$45,"HUB-01",Actions!$F$7:$F$45,"Échec")+COUNTIFS(Actions!$A$7:$A$45,"HUB-11",Actions!$F$7:$F$45,"Échec")&gt;0,"Échec",IF(COUNTIFS(Actions!$A$7:$A$45,"HUB-01",Actions!$F$7:$F$45,"Observé sur branche")+COUNTIFS(Actions!$A$7:$A$45,"HUB-11",Actions!$F$7:$F$45,"Observé sur branche")=E13,"Observé sur branche",IF(COUNTIFS(Actions!$A$7:$A$45,"HUB-01",Actions!$F$7:$F$45,"Observé sur branche")+COUNTIFS(Actions!$A$7:$A$45,"HUB-11",Actions!$F$7:$F$45,"Observé sur branche")+COUNTIFS(Actions!$A$7:$A$45,"HUB-01",Actions!$F$7:$F$45,"Partiel")+COUNTIFS(Actions!$A$7:$A$45,"HUB-11",Actions!$F$7:$F$45,"Partiel")&gt;0,"Partiel","Non réalisé")))))</x:f>
        <x:v>Non réalisé</x:v>
      </x:c>
      <x:c r="H13" s="22" t="str">
        <x:v>L’index regroupe dix catégories sous forme de grandes cartes illustrées, avec description et compteur. Ces catégories couvrent les missions d’univers, le contenu original, les arcs, les fusions et les épreuves.</x:v>
      </x:c>
      <x:c r="I13" s="22" t="str">
        <x:v>HUB-01 — Shell de jeu en grille 100dvh : navigation latérale compacte, en-tête de ressources, filtres contextuels et espace principal borné. Navigation mobile sur deux rails horizontaux.
HUB-11 — 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x:v>
      </x:c>
      <x:c r="J13" s="22" t="str">
        <x:v>Conserver les dix catégories, leurs compteurs, leurs conditions d’accès et la recherche. RPG, Tactics et Smash restent des types de mission et des filtres, pas de nouveaux onglets inventés.</x:v>
      </x:c>
      <x:c r="K13" s="22" t="str">
        <x:v>Chaque catégorie doit être atteignable au clavier et au tactile. Les descriptions complètes restent accessibles dans le dossier, et les catégories verrouillées indiquent la raison plutôt que de disparaître sans explication.</x:v>
      </x:c>
      <x:c r="L13" s="22" t="str">
        <x:v>Recette visuelle Vercel encore nécessaire, notamment 390px, 1363px et ultralarge.
Les catalogues et cartes existants conservent leur contenu et leur logique ; le travail ne crée pas de nouveaux décors propres à chaque écran secondaire.
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x:v>
      </x:c>
      <x:c r="M13" s="22" t="str">
        <x:v>src/components/HubScreen.jsx
src/components/HubImmersion.css
src/game/immersiveHubState.js
scripts/immersiveHubState.test.mjs</x:v>
      </x:c>
      <x:c r="N13" s="22" t="str">
        <x:v>HUB-01, HUB-11</x:v>
      </x:c>
      <x:c r="O13" s="22" t="str">
        <x:v>src/components/HubScreen.jsx:8559–8640
src/components/HubScreen.jsx:9439–9508</x:v>
      </x:c>
      <x:c r="P13" s="26" t="str">
        <x:f>IFERROR(HYPERLINK("https://github.com/darknigthmare/multiverse-breach/blob/5f44cf344d1a9fbb0dbd7c899510b7dd16cf25d6/src/components/HubScreen.jsx#L8559-L8640","Source de l’audit"),"Source de l’audit")</x:f>
        <x:v>Source de l’audit</x:v>
      </x:c>
      <x:c r="Q13" s="26" t="str">
        <x:f>IFERROR(HYPERLINK("https://github.com/darknigthmare/multiverse-breach/blob/codex/immersive-ui-audit-2026-10-25/src/components/HubScreen.jsx","Réalisation actuelle"),"Réalisation actuelle")</x:f>
        <x:v>Réalisation actuelle</x:v>
      </x:c>
      <x:c r="R13" s="22" t="str">
        <x:v>Transformer l’index en sélection d’opérations avec une grande illustration pour la catégorie active, une liste courte de choix et une action claire. La présentation doit utiliser la hauteur disponible sans empiler toutes les fiches.</x:v>
      </x:c>
      <x:c r="S13" s="22" t="str">
        <x:v>Aucune observation de la nouvelle branche enregistrée.</x:v>
      </x:c>
      <x:c r="T13" s="22" t="str">
        <x:v>Non réalisé</x:v>
      </x:c>
    </x:row>
    <x:row r="14" ht="155" customHeight="1">
      <x:c r="A14" s="25" t="n">
        <x:v>8</x:v>
      </x:c>
      <x:c r="B14" s="21" t="str">
        <x:v>Campagne et bibliothèques originales</x:v>
      </x:c>
      <x:c r="C14" s="21" t="str">
        <x:v>P1</x:v>
      </x:c>
      <x:c r="D14" s="21" t="str">
        <x:f>IF(E14=0,"À traiter",IF(COUNTIFS(Actions!$A$7:$A$45,"HUB-01",Actions!$D$7:$D$45,"À préciser")+COUNTIFS(Actions!$A$7:$A$45,"HUB-11",Actions!$D$7:$D$45,"À préciser")&gt;0,"À préciser",IF(COUNTIFS(Actions!$A$7:$A$45,"HUB-01",Actions!$D$7:$D$45,"Partiel")+COUNTIFS(Actions!$A$7:$A$45,"HUB-11",Actions!$D$7:$D$45,"Partiel")+COUNTIFS(Actions!$A$7:$A$45,"HUB-01",Actions!$D$7:$D$45,"À traiter")+COUNTIFS(Actions!$A$7:$A$45,"HUB-11",Actions!$D$7:$D$45,"À traiter")&gt;0,"Partiel",IF(COUNTIFS(Actions!$A$7:$A$45,"HUB-01",Actions!$D$7:$D$45,"Implémenté")+COUNTIFS(Actions!$A$7:$A$45,"HUB-11",Actions!$D$7:$D$45,"Implémenté")&gt;0,"Implémenté","Conservé"))))</x:f>
        <x:v>Implémenté</x:v>
      </x:c>
      <x:c r="E14" s="31" t="n">
        <x:f>COUNTIFS(Actions!$A$7:$A$45,"HUB-01")+COUNTIFS(Actions!$A$7:$A$45,"HUB-11")</x:f>
        <x:v>2</x:v>
      </x:c>
      <x:c r="F14" s="21" t="str">
        <x:f>IF(E14=0,"Non réalisés",IF(COUNTIFS(Actions!$A$7:$A$45,"HUB-01",Actions!$E$7:$E$45,"Échec")+COUNTIFS(Actions!$A$7:$A$45,"HUB-11",Actions!$E$7:$E$45,"Échec")&gt;0,"Échec",IF(COUNTIFS(Actions!$A$7:$A$45,"HUB-01",Actions!$E$7:$E$45,"Bloqués")+COUNTIFS(Actions!$A$7:$A$45,"HUB-11",Actions!$E$7:$E$45,"Bloqués")+COUNTIFS(Actions!$A$7:$A$45,"HUB-01",Actions!$E$7:$E$45,"Partiels")+COUNTIFS(Actions!$A$7:$A$45,"HUB-11",Actions!$E$7:$E$45,"Partiels")&gt;0,"Partiels",IF(COUNTIFS(Actions!$A$7:$A$45,"HUB-01",Actions!$E$7:$E$45,"Réussis")+COUNTIFS(Actions!$A$7:$A$45,"HUB-11",Actions!$E$7:$E$45,"Réussis")=E14,"Réussis",IF(COUNTIFS(Actions!$A$7:$A$45,"HUB-01",Actions!$E$7:$E$45,"Réussis")+COUNTIFS(Actions!$A$7:$A$45,"HUB-11",Actions!$E$7:$E$45,"Réussis")&gt;0,"Partiels",IF(COUNTIFS(Actions!$A$7:$A$45,"HUB-01",Actions!$E$7:$E$45,"Déclarés")+COUNTIFS(Actions!$A$7:$A$45,"HUB-11",Actions!$E$7:$E$45,"Déclarés")&gt;0,"Déclarés","Non réalisés"))))))</x:f>
        <x:v>Réussis</x:v>
      </x:c>
      <x:c r="G14" s="21" t="str">
        <x:f>IF(T14&lt;&gt;"Non réalisé",T14,IF(E14=0,"Non réalisé",IF(COUNTIFS(Actions!$A$7:$A$45,"HUB-01",Actions!$F$7:$F$45,"Échec")+COUNTIFS(Actions!$A$7:$A$45,"HUB-11",Actions!$F$7:$F$45,"Échec")&gt;0,"Échec",IF(COUNTIFS(Actions!$A$7:$A$45,"HUB-01",Actions!$F$7:$F$45,"Observé sur branche")+COUNTIFS(Actions!$A$7:$A$45,"HUB-11",Actions!$F$7:$F$45,"Observé sur branche")=E14,"Observé sur branche",IF(COUNTIFS(Actions!$A$7:$A$45,"HUB-01",Actions!$F$7:$F$45,"Observé sur branche")+COUNTIFS(Actions!$A$7:$A$45,"HUB-11",Actions!$F$7:$F$45,"Observé sur branche")+COUNTIFS(Actions!$A$7:$A$45,"HUB-01",Actions!$F$7:$F$45,"Partiel")+COUNTIFS(Actions!$A$7:$A$45,"HUB-11",Actions!$F$7:$F$45,"Partiel")&gt;0,"Partiel","Non réalisé")))))</x:f>
        <x:v>Non réalisé</x:v>
      </x:c>
      <x:c r="H14" s="21" t="str">
        <x:v>La campagne originale possède déjà une chronique et des chapitres distincts de la carte et du répertoire. Les actes annexes et les univers originaux disposent de catégories et de bibliothèques propres.</x:v>
      </x:c>
      <x:c r="I14" s="21" t="str">
        <x:v>HUB-01 — Shell de jeu en grille 100dvh : navigation latérale compacte, en-tête de ressources, filtres contextuels et espace principal borné. Navigation mobile sur deux rails horizontaux.
HUB-11 — 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x:v>
      </x:c>
      <x:c r="J14" s="21" t="str">
        <x:v>Préserver chapitres, missions annexes, activation des bibliothèques, exigences, variantes et états terminés. Le travail porte sur le cadrage et les transitions, sans refaire une séparation déjà réalisée.</x:v>
      </x:c>
      <x:c r="K14" s="21" t="str">
        <x:v>Le joueur doit identifier sa prochaine mission et retrouver un chapitre déjà vu. Changer de vue doit conserver le chapitre sélectionné et ne pas réattribuer les récompenses de première réussite.</x:v>
      </x:c>
      <x:c r="L14" s="21" t="str">
        <x:v>Recette visuelle Vercel encore nécessaire, notamment 390px, 1363px et ultralarge.
Les catalogues et cartes existants conservent leur contenu et leur logique ; le travail ne crée pas de nouveaux décors propres à chaque écran secondaire.
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x:v>
      </x:c>
      <x:c r="M14" s="21" t="str">
        <x:v>src/components/HubScreen.jsx
src/components/HubImmersion.css
src/game/immersiveHubState.js
scripts/immersiveHubState.test.mjs</x:v>
      </x:c>
      <x:c r="N14" s="21" t="str">
        <x:v>HUB-01, HUB-11</x:v>
      </x:c>
      <x:c r="O14" s="21" t="str">
        <x:v>src/components/HubScreen.jsx:8573–8593
src/components/HubScreen.jsx:9691–9720
src/components/HubScreen.jsx:8868–8943</x:v>
      </x:c>
      <x:c r="P14" s="27" t="str">
        <x:f>IFERROR(HYPERLINK("https://github.com/darknigthmare/multiverse-breach/blob/5f44cf344d1a9fbb0dbd7c899510b7dd16cf25d6/src/components/HubScreen.jsx#L8573-L8593","Source de l’audit"),"Source de l’audit")</x:f>
        <x:v>Source de l’audit</x:v>
      </x:c>
      <x:c r="Q14" s="27" t="str">
        <x:f>IFERROR(HYPERLINK("https://github.com/darknigthmare/multiverse-breach/blob/codex/immersive-ui-audit-2026-10-25/src/components/HubScreen.jsx","Réalisation actuelle"),"Réalisation actuelle")</x:f>
        <x:v>Réalisation actuelle</x:v>
      </x:c>
      <x:c r="R14" s="21" t="str">
        <x:v>Présenter la campagne comme un livre de chapitres ou une salle de commandement plein écran. La mission sélectionnée apporte son décor, son contexte et l’action Continuer ou Revoir, tandis que les bibliothèques restent consultables par section.</x:v>
      </x:c>
      <x:c r="S14" s="21" t="str">
        <x:v>Aucune observation de la nouvelle branche enregistrée.</x:v>
      </x:c>
      <x:c r="T14" s="21" t="str">
        <x:v>Non réalisé</x:v>
      </x:c>
    </x:row>
    <x:row r="15" ht="181" customHeight="1">
      <x:c r="A15" s="24" t="n">
        <x:v>9</x:v>
      </x:c>
      <x:c r="B15" s="22" t="str">
        <x:v>Carte, répertoire, journal et épreuves</x:v>
      </x:c>
      <x:c r="C15" s="22" t="str">
        <x:v>P1</x:v>
      </x:c>
      <x:c r="D15" s="22" t="str">
        <x:f>IF(E15=0,"À traiter",IF(COUNTIFS(Actions!$A$7:$A$45,"HUB-01",Actions!$D$7:$D$45,"À préciser")+COUNTIFS(Actions!$A$7:$A$45,"HUB-02",Actions!$D$7:$D$45,"À préciser")+COUNTIFS(Actions!$A$7:$A$45,"HUB-11",Actions!$D$7:$D$45,"À préciser")&gt;0,"À préciser",IF(COUNTIFS(Actions!$A$7:$A$45,"HUB-01",Actions!$D$7:$D$45,"Partiel")+COUNTIFS(Actions!$A$7:$A$45,"HUB-02",Actions!$D$7:$D$45,"Partiel")+COUNTIFS(Actions!$A$7:$A$45,"HUB-11",Actions!$D$7:$D$45,"Partiel")+COUNTIFS(Actions!$A$7:$A$45,"HUB-01",Actions!$D$7:$D$45,"À traiter")+COUNTIFS(Actions!$A$7:$A$45,"HUB-02",Actions!$D$7:$D$45,"À traiter")+COUNTIFS(Actions!$A$7:$A$45,"HUB-11",Actions!$D$7:$D$45,"À traiter")&gt;0,"Partiel",IF(COUNTIFS(Actions!$A$7:$A$45,"HUB-01",Actions!$D$7:$D$45,"Implémenté")+COUNTIFS(Actions!$A$7:$A$45,"HUB-02",Actions!$D$7:$D$45,"Implémenté")+COUNTIFS(Actions!$A$7:$A$45,"HUB-11",Actions!$D$7:$D$45,"Implémenté")&gt;0,"Implémenté","Conservé"))))</x:f>
        <x:v>Implémenté</x:v>
      </x:c>
      <x:c r="E15" s="30" t="n">
        <x:f>COUNTIFS(Actions!$A$7:$A$45,"HUB-01")+COUNTIFS(Actions!$A$7:$A$45,"HUB-02")+COUNTIFS(Actions!$A$7:$A$45,"HUB-11")</x:f>
        <x:v>3</x:v>
      </x:c>
      <x:c r="F15" s="22" t="str">
        <x:f>IF(E15=0,"Non réalisés",IF(COUNTIFS(Actions!$A$7:$A$45,"HUB-01",Actions!$E$7:$E$45,"Échec")+COUNTIFS(Actions!$A$7:$A$45,"HUB-02",Actions!$E$7:$E$45,"Échec")+COUNTIFS(Actions!$A$7:$A$45,"HUB-11",Actions!$E$7:$E$45,"Échec")&gt;0,"Échec",IF(COUNTIFS(Actions!$A$7:$A$45,"HUB-01",Actions!$E$7:$E$45,"Bloqués")+COUNTIFS(Actions!$A$7:$A$45,"HUB-02",Actions!$E$7:$E$45,"Bloqués")+COUNTIFS(Actions!$A$7:$A$45,"HUB-11",Actions!$E$7:$E$45,"Bloqués")+COUNTIFS(Actions!$A$7:$A$45,"HUB-01",Actions!$E$7:$E$45,"Partiels")+COUNTIFS(Actions!$A$7:$A$45,"HUB-02",Actions!$E$7:$E$45,"Partiels")+COUNTIFS(Actions!$A$7:$A$45,"HUB-11",Actions!$E$7:$E$45,"Partiels")&gt;0,"Partiels",IF(COUNTIFS(Actions!$A$7:$A$45,"HUB-01",Actions!$E$7:$E$45,"Réussis")+COUNTIFS(Actions!$A$7:$A$45,"HUB-02",Actions!$E$7:$E$45,"Réussis")+COUNTIFS(Actions!$A$7:$A$45,"HUB-11",Actions!$E$7:$E$45,"Réussis")=E15,"Réussis",IF(COUNTIFS(Actions!$A$7:$A$45,"HUB-01",Actions!$E$7:$E$45,"Réussis")+COUNTIFS(Actions!$A$7:$A$45,"HUB-02",Actions!$E$7:$E$45,"Réussis")+COUNTIFS(Actions!$A$7:$A$45,"HUB-11",Actions!$E$7:$E$45,"Réussis")&gt;0,"Partiels",IF(COUNTIFS(Actions!$A$7:$A$45,"HUB-01",Actions!$E$7:$E$45,"Déclarés")+COUNTIFS(Actions!$A$7:$A$45,"HUB-02",Actions!$E$7:$E$45,"Déclarés")+COUNTIFS(Actions!$A$7:$A$45,"HUB-11",Actions!$E$7:$E$45,"Déclarés")&gt;0,"Déclarés","Non réalisés"))))))</x:f>
        <x:v>Réussis</x:v>
      </x:c>
      <x:c r="G15" s="22" t="str">
        <x:f>IF(T15&lt;&gt;"Non réalisé",T15,IF(E15=0,"Non réalisé",IF(COUNTIFS(Actions!$A$7:$A$45,"HUB-01",Actions!$F$7:$F$45,"Échec")+COUNTIFS(Actions!$A$7:$A$45,"HUB-02",Actions!$F$7:$F$45,"Échec")+COUNTIFS(Actions!$A$7:$A$45,"HUB-11",Actions!$F$7:$F$45,"Échec")&gt;0,"Échec",IF(COUNTIFS(Actions!$A$7:$A$45,"HUB-01",Actions!$F$7:$F$45,"Observé sur branche")+COUNTIFS(Actions!$A$7:$A$45,"HUB-02",Actions!$F$7:$F$45,"Observé sur branche")+COUNTIFS(Actions!$A$7:$A$45,"HUB-11",Actions!$F$7:$F$45,"Observé sur branche")=E15,"Observé sur branche",IF(COUNTIFS(Actions!$A$7:$A$45,"HUB-01",Actions!$F$7:$F$45,"Observé sur branche")+COUNTIFS(Actions!$A$7:$A$45,"HUB-02",Actions!$F$7:$F$45,"Observé sur branche")+COUNTIFS(Actions!$A$7:$A$45,"HUB-11",Actions!$F$7:$F$45,"Observé sur branche")+COUNTIFS(Actions!$A$7:$A$45,"HUB-01",Actions!$F$7:$F$45,"Partiel")+COUNTIFS(Actions!$A$7:$A$45,"HUB-02",Actions!$F$7:$F$45,"Partiel")+COUNTIFS(Actions!$A$7:$A$45,"HUB-11",Actions!$F$7:$F$45,"Partiel")&gt;0,"Partiel","Non réalisé")))))</x:f>
        <x:v>Non réalisé</x:v>
      </x:c>
      <x:c r="H15" s="22" t="str">
        <x:v>La carte, le répertoire et le journal sont déjà compartimentés. Les missions d’univers, les épreuves sans combat et les failles fusionnées utilisent ces vues, avec leurs objectifs et protocoles particuliers.</x:v>
      </x:c>
      <x:c r="I15" s="22" t="str">
        <x:v>HUB-01 — Shell de jeu en grille 100dvh : navigation latérale compacte, en-tête de ressources, filtres contextuels et espace principal borné. Navigation mobile sur deux rails horizontaux.
HUB-02 — Les quatre blocs de progression auparavant conditionnés par legacyStoryMeta sont déplacés, via une transformation AST contrôlée, vers un Registre accessible depuis Directive &amp; cycle.
HUB-11 — 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x:v>
      </x:c>
      <x:c r="J15" s="22" t="str">
        <x:v>Conserver toutes les missions, les filtres, le journal et les protocoles de fusion. Les épreuves hors combat disposent déjà d’un traitement spécifique de leur titre et objectif.</x:v>
      </x:c>
      <x:c r="K15" s="22" t="str">
        <x:v>Une sélection dans le répertoire doit pointer la même mission sur la carte. Les épreuves doivent afficher leurs véritables règles, et chaque détail de fusion doit rester accessible sans défilement du document de jeu.</x:v>
      </x:c>
      <x:c r="L15" s="22" t="str">
        <x:v>Recette visuelle Vercel encore nécessaire, notamment 390px, 1363px et ultralarge.
Les catalogues et cartes existants conservent leur contenu et leur logique ; le travail ne crée pas de nouveaux décors propres à chaque écran secondaire.
Contrôle visuel et activation manuelle de chaque dossier en preview encore à réaliser ; les tests de progression existants restent verts.
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x:v>
      </x:c>
      <x:c r="M15" s="22" t="str">
        <x:v>src/components/HubScreen.jsx
src/components/HubImmersion.css
src/components/ImmersiveDrawer.jsx
src/game/immersiveHubState.js
scripts/immersiveHubState.test.mjs</x:v>
      </x:c>
      <x:c r="N15" s="22" t="str">
        <x:v>HUB-01, HUB-02, HUB-11</x:v>
      </x:c>
      <x:c r="O15" s="22" t="str">
        <x:v>src/components/HubScreen.jsx:8868–8943
src/components/HubScreen.jsx:10168–10212
src/App.jsx:801–860</x:v>
      </x:c>
      <x:c r="P15" s="26" t="str">
        <x:f>IFERROR(HYPERLINK("https://github.com/darknigthmare/multiverse-breach/blob/5f44cf344d1a9fbb0dbd7c899510b7dd16cf25d6/src/components/HubScreen.jsx#L8868-L8943","Source de l’audit"),"Source de l’audit")</x:f>
        <x:v>Source de l’audit</x:v>
      </x:c>
      <x:c r="Q15" s="26" t="str">
        <x:f>IFERROR(HYPERLINK("https://github.com/darknigthmare/multiverse-breach/blob/codex/immersive-ui-audit-2026-10-25/src/components/HubScreen.jsx","Réalisation actuelle"),"Réalisation actuelle")</x:f>
        <x:v>Réalisation actuelle</x:v>
      </x:c>
      <x:c r="R15" s="22" t="str">
        <x:v>Faire de la carte la surface principale de l’écran, avec inspecteur à la sélection et journal ouvrable. Utiliser le répertoire pour la recherche précise, sans afficher simultanément toutes les descriptions autour de la carte.</x:v>
      </x:c>
      <x:c r="S15" s="22" t="str">
        <x:v>Aucune observation de la nouvelle branche enregistrée.</x:v>
      </x:c>
      <x:c r="T15" s="22" t="str">
        <x:v>Non réalisé</x:v>
      </x:c>
    </x:row>
    <x:row r="16" ht="155" customHeight="1">
      <x:c r="A16" s="25" t="n">
        <x:v>10</x:v>
      </x:c>
      <x:c r="B16" s="21" t="str">
        <x:v>Arcs de faction, d’univers, personnels et trio</x:v>
      </x:c>
      <x:c r="C16" s="21" t="str">
        <x:v>P1</x:v>
      </x:c>
      <x:c r="D16" s="21" t="str">
        <x:f>IF(E16=0,"À traiter",IF(COUNTIFS(Actions!$A$7:$A$45,"HUB-01",Actions!$D$7:$D$45,"À préciser")+COUNTIFS(Actions!$A$7:$A$45,"HUB-11",Actions!$D$7:$D$45,"À préciser")&gt;0,"À préciser",IF(COUNTIFS(Actions!$A$7:$A$45,"HUB-01",Actions!$D$7:$D$45,"Partiel")+COUNTIFS(Actions!$A$7:$A$45,"HUB-11",Actions!$D$7:$D$45,"Partiel")+COUNTIFS(Actions!$A$7:$A$45,"HUB-01",Actions!$D$7:$D$45,"À traiter")+COUNTIFS(Actions!$A$7:$A$45,"HUB-11",Actions!$D$7:$D$45,"À traiter")&gt;0,"Partiel",IF(COUNTIFS(Actions!$A$7:$A$45,"HUB-01",Actions!$D$7:$D$45,"Implémenté")+COUNTIFS(Actions!$A$7:$A$45,"HUB-11",Actions!$D$7:$D$45,"Implémenté")&gt;0,"Implémenté","Conservé"))))</x:f>
        <x:v>Implémenté</x:v>
      </x:c>
      <x:c r="E16" s="31" t="n">
        <x:f>COUNTIFS(Actions!$A$7:$A$45,"HUB-01")+COUNTIFS(Actions!$A$7:$A$45,"HUB-11")</x:f>
        <x:v>2</x:v>
      </x:c>
      <x:c r="F16" s="21" t="str">
        <x:f>IF(E16=0,"Non réalisés",IF(COUNTIFS(Actions!$A$7:$A$45,"HUB-01",Actions!$E$7:$E$45,"Échec")+COUNTIFS(Actions!$A$7:$A$45,"HUB-11",Actions!$E$7:$E$45,"Échec")&gt;0,"Échec",IF(COUNTIFS(Actions!$A$7:$A$45,"HUB-01",Actions!$E$7:$E$45,"Bloqués")+COUNTIFS(Actions!$A$7:$A$45,"HUB-11",Actions!$E$7:$E$45,"Bloqués")+COUNTIFS(Actions!$A$7:$A$45,"HUB-01",Actions!$E$7:$E$45,"Partiels")+COUNTIFS(Actions!$A$7:$A$45,"HUB-11",Actions!$E$7:$E$45,"Partiels")&gt;0,"Partiels",IF(COUNTIFS(Actions!$A$7:$A$45,"HUB-01",Actions!$E$7:$E$45,"Réussis")+COUNTIFS(Actions!$A$7:$A$45,"HUB-11",Actions!$E$7:$E$45,"Réussis")=E16,"Réussis",IF(COUNTIFS(Actions!$A$7:$A$45,"HUB-01",Actions!$E$7:$E$45,"Réussis")+COUNTIFS(Actions!$A$7:$A$45,"HUB-11",Actions!$E$7:$E$45,"Réussis")&gt;0,"Partiels",IF(COUNTIFS(Actions!$A$7:$A$45,"HUB-01",Actions!$E$7:$E$45,"Déclarés")+COUNTIFS(Actions!$A$7:$A$45,"HUB-11",Actions!$E$7:$E$45,"Déclarés")&gt;0,"Déclarés","Non réalisés"))))))</x:f>
        <x:v>Réussis</x:v>
      </x:c>
      <x:c r="G16" s="21" t="str">
        <x:f>IF(T16&lt;&gt;"Non réalisé",T16,IF(E16=0,"Non réalisé",IF(COUNTIFS(Actions!$A$7:$A$45,"HUB-01",Actions!$F$7:$F$45,"Échec")+COUNTIFS(Actions!$A$7:$A$45,"HUB-11",Actions!$F$7:$F$45,"Échec")&gt;0,"Échec",IF(COUNTIFS(Actions!$A$7:$A$45,"HUB-01",Actions!$F$7:$F$45,"Observé sur branche")+COUNTIFS(Actions!$A$7:$A$45,"HUB-11",Actions!$F$7:$F$45,"Observé sur branche")=E16,"Observé sur branche",IF(COUNTIFS(Actions!$A$7:$A$45,"HUB-01",Actions!$F$7:$F$45,"Observé sur branche")+COUNTIFS(Actions!$A$7:$A$45,"HUB-11",Actions!$F$7:$F$45,"Observé sur branche")+COUNTIFS(Actions!$A$7:$A$45,"HUB-01",Actions!$F$7:$F$45,"Partiel")+COUNTIFS(Actions!$A$7:$A$45,"HUB-11",Actions!$F$7:$F$45,"Partiel")&gt;0,"Partiel","Non réalisé")))))</x:f>
        <x:v>Non réalisé</x:v>
      </x:c>
      <x:c r="H16" s="21" t="str">
        <x:v>Les arcs possèdent déjà des navigateurs et une sélection de groupe, puis des chapitres ou une carte. Ils ne sont plus tous déversés dans une seule page de missions.</x:v>
      </x:c>
      <x:c r="I16" s="21" t="str">
        <x:v>HUB-01 — Shell de jeu en grille 100dvh : navigation latérale compacte, en-tête de ressources, filtres contextuels et espace principal borné. Navigation mobile sur deux rails horizontaux.
HUB-11 — 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x:v>
      </x:c>
      <x:c r="J16" s="21" t="str">
        <x:v>Conserver progression, verrous, introductions, relecture, composition requise et missions associées. Ne pas recréer des onglets ou une navigation de groupe qui existent déjà.</x:v>
      </x:c>
      <x:c r="K16" s="21" t="str">
        <x:v>La relation entre arc, chapitre et mission doit rester évidente. Revenir depuis une introduction ou une fiche doit retrouver le même arc, et un passage visuel ne doit jamais valider une mission.</x:v>
      </x:c>
      <x:c r="L16" s="21" t="str">
        <x:v>Recette visuelle Vercel encore nécessaire, notamment 390px, 1363px et ultralarge.
Les catalogues et cartes existants conservent leur contenu et leur logique ; le travail ne crée pas de nouveaux décors propres à chaque écran secondaire.
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x:v>
      </x:c>
      <x:c r="M16" s="21" t="str">
        <x:v>src/components/HubScreen.jsx
src/components/HubImmersion.css
src/game/immersiveHubState.js
scripts/immersiveHubState.test.mjs</x:v>
      </x:c>
      <x:c r="N16" s="21" t="str">
        <x:v>HUB-01, HUB-11</x:v>
      </x:c>
      <x:c r="O16" s="21" t="str">
        <x:v>src/components/HubScreen.jsx:9586–9650
src/components/HubScreen.jsx:9840–9842</x:v>
      </x:c>
      <x:c r="P16" s="27" t="str">
        <x:f>IFERROR(HYPERLINK("https://github.com/darknigthmare/multiverse-breach/blob/5f44cf344d1a9fbb0dbd7c899510b7dd16cf25d6/src/components/HubScreen.jsx#L9586-L9650","Source de l’audit"),"Source de l’audit")</x:f>
        <x:v>Source de l’audit</x:v>
      </x:c>
      <x:c r="Q16" s="27" t="str">
        <x:f>IFERROR(HYPERLINK("https://github.com/darknigthmare/multiverse-breach/blob/codex/immersive-ui-audit-2026-10-25/src/components/HubScreen.jsx","Réalisation actuelle"),"Réalisation actuelle")</x:f>
        <x:v>Réalisation actuelle</x:v>
      </x:c>
      <x:c r="R16" s="21" t="str">
        <x:v>Utiliser une présentation adaptée à leur sens : conseil pour les factions, atlas pour les univers, dossier de héros pour l’arc personnel et scène des trois signatures pour le trio. Les chapitres restent la navigation principale.</x:v>
      </x:c>
      <x:c r="S16" s="21" t="str">
        <x:v>Aucune observation de la nouvelle branche enregistrée.</x:v>
      </x:c>
      <x:c r="T16" s="21" t="str">
        <x:v>Non réalisé</x:v>
      </x:c>
    </x:row>
    <x:row r="17" ht="168" customHeight="1">
      <x:c r="A17" s="24" t="n">
        <x:v>11</x:v>
      </x:c>
      <x:c r="B17" s="22" t="str">
        <x:v>Dossier de mission et briefing narratif</x:v>
      </x:c>
      <x:c r="C17" s="22" t="str">
        <x:v>P1</x:v>
      </x:c>
      <x:c r="D17" s="22" t="str">
        <x:f>IF(E17=0,"À traiter",IF(COUNTIFS(Actions!$A$7:$A$45,"HUB-01",Actions!$D$7:$D$45,"À préciser")+COUNTIFS(Actions!$A$7:$A$45,"HUB-11",Actions!$D$7:$D$45,"À préciser")+COUNTIFS(Actions!$A$7:$A$45,"APP-06",Actions!$D$7:$D$45,"À préciser")&gt;0,"À préciser",IF(COUNTIFS(Actions!$A$7:$A$45,"HUB-01",Actions!$D$7:$D$45,"Partiel")+COUNTIFS(Actions!$A$7:$A$45,"HUB-11",Actions!$D$7:$D$45,"Partiel")+COUNTIFS(Actions!$A$7:$A$45,"APP-06",Actions!$D$7:$D$45,"Partiel")+COUNTIFS(Actions!$A$7:$A$45,"HUB-01",Actions!$D$7:$D$45,"À traiter")+COUNTIFS(Actions!$A$7:$A$45,"HUB-11",Actions!$D$7:$D$45,"À traiter")+COUNTIFS(Actions!$A$7:$A$45,"APP-06",Actions!$D$7:$D$45,"À traiter")&gt;0,"Partiel",IF(COUNTIFS(Actions!$A$7:$A$45,"HUB-01",Actions!$D$7:$D$45,"Implémenté")+COUNTIFS(Actions!$A$7:$A$45,"HUB-11",Actions!$D$7:$D$45,"Implémenté")+COUNTIFS(Actions!$A$7:$A$45,"APP-06",Actions!$D$7:$D$45,"Implémenté")&gt;0,"Implémenté","Conservé"))))</x:f>
        <x:v>Implémenté</x:v>
      </x:c>
      <x:c r="E17" s="30" t="n">
        <x:f>COUNTIFS(Actions!$A$7:$A$45,"HUB-01")+COUNTIFS(Actions!$A$7:$A$45,"HUB-11")+COUNTIFS(Actions!$A$7:$A$45,"APP-06")</x:f>
        <x:v>3</x:v>
      </x:c>
      <x:c r="F17" s="22" t="str">
        <x:f>IF(E17=0,"Non réalisés",IF(COUNTIFS(Actions!$A$7:$A$45,"HUB-01",Actions!$E$7:$E$45,"Échec")+COUNTIFS(Actions!$A$7:$A$45,"HUB-11",Actions!$E$7:$E$45,"Échec")+COUNTIFS(Actions!$A$7:$A$45,"APP-06",Actions!$E$7:$E$45,"Échec")&gt;0,"Échec",IF(COUNTIFS(Actions!$A$7:$A$45,"HUB-01",Actions!$E$7:$E$45,"Bloqués")+COUNTIFS(Actions!$A$7:$A$45,"HUB-11",Actions!$E$7:$E$45,"Bloqués")+COUNTIFS(Actions!$A$7:$A$45,"APP-06",Actions!$E$7:$E$45,"Bloqués")+COUNTIFS(Actions!$A$7:$A$45,"HUB-01",Actions!$E$7:$E$45,"Partiels")+COUNTIFS(Actions!$A$7:$A$45,"HUB-11",Actions!$E$7:$E$45,"Partiels")+COUNTIFS(Actions!$A$7:$A$45,"APP-06",Actions!$E$7:$E$45,"Partiels")&gt;0,"Partiels",IF(COUNTIFS(Actions!$A$7:$A$45,"HUB-01",Actions!$E$7:$E$45,"Réussis")+COUNTIFS(Actions!$A$7:$A$45,"HUB-11",Actions!$E$7:$E$45,"Réussis")+COUNTIFS(Actions!$A$7:$A$45,"APP-06",Actions!$E$7:$E$45,"Réussis")=E17,"Réussis",IF(COUNTIFS(Actions!$A$7:$A$45,"HUB-01",Actions!$E$7:$E$45,"Réussis")+COUNTIFS(Actions!$A$7:$A$45,"HUB-11",Actions!$E$7:$E$45,"Réussis")+COUNTIFS(Actions!$A$7:$A$45,"APP-06",Actions!$E$7:$E$45,"Réussis")&gt;0,"Partiels",IF(COUNTIFS(Actions!$A$7:$A$45,"HUB-01",Actions!$E$7:$E$45,"Déclarés")+COUNTIFS(Actions!$A$7:$A$45,"HUB-11",Actions!$E$7:$E$45,"Déclarés")+COUNTIFS(Actions!$A$7:$A$45,"APP-06",Actions!$E$7:$E$45,"Déclarés")&gt;0,"Déclarés","Non réalisés"))))))</x:f>
        <x:v>Partiels</x:v>
      </x:c>
      <x:c r="G17" s="22" t="str">
        <x:f>IF(T17&lt;&gt;"Non réalisé",T17,IF(E17=0,"Non réalisé",IF(COUNTIFS(Actions!$A$7:$A$45,"HUB-01",Actions!$F$7:$F$45,"Échec")+COUNTIFS(Actions!$A$7:$A$45,"HUB-11",Actions!$F$7:$F$45,"Échec")+COUNTIFS(Actions!$A$7:$A$45,"APP-06",Actions!$F$7:$F$45,"Échec")&gt;0,"Échec",IF(COUNTIFS(Actions!$A$7:$A$45,"HUB-01",Actions!$F$7:$F$45,"Observé sur branche")+COUNTIFS(Actions!$A$7:$A$45,"HUB-11",Actions!$F$7:$F$45,"Observé sur branche")+COUNTIFS(Actions!$A$7:$A$45,"APP-06",Actions!$F$7:$F$45,"Observé sur branche")=E17,"Observé sur branche",IF(COUNTIFS(Actions!$A$7:$A$45,"HUB-01",Actions!$F$7:$F$45,"Observé sur branche")+COUNTIFS(Actions!$A$7:$A$45,"HUB-11",Actions!$F$7:$F$45,"Observé sur branche")+COUNTIFS(Actions!$A$7:$A$45,"APP-06",Actions!$F$7:$F$45,"Observé sur branche")+COUNTIFS(Actions!$A$7:$A$45,"HUB-01",Actions!$F$7:$F$45,"Partiel")+COUNTIFS(Actions!$A$7:$A$45,"HUB-11",Actions!$F$7:$F$45,"Partiel")+COUNTIFS(Actions!$A$7:$A$45,"APP-06",Actions!$F$7:$F$45,"Partiel")&gt;0,"Partiel","Non réalisé")))))</x:f>
        <x:v>Non réalisé</x:v>
      </x:c>
      <x:c r="H17" s="22" t="str">
        <x:v>Le dossier de sélection comporte déjà prérequis, ressources, déploiement et aides à la composition. Le briefing qui suit utilise un fond plein écran mais empile narration, tags et modificateurs avant son unique action Lancer.</x:v>
      </x:c>
      <x:c r="I17" s="22" t="str">
        <x:v>HUB-01 — Shell de jeu en grille 100dvh : navigation latérale compacte, en-tête de ressources, filtres contextuels et espace principal borné. Navigation mobile sur deux rails horizontaux.
HUB-11 — 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
APP-06 — Briefing avec retour à la préparation et actions fixes dans le panneau de lecture.</x:v>
      </x:c>
      <x:c r="J17" s="22" t="str">
        <x:v>Préserver tous les détails, les liens vers équipe et portail, les objectifs d’escorte et les règles des épreuves. Les textes doivent rester relisibles et ne pas être supprimés.</x:v>
      </x:c>
      <x:c r="K17" s="22" t="str">
        <x:v>Les actions Lancer et Retour doivent tenir dans le viewport. Toute règle indispensable à la réussite reste visible, tandis que la consultation du dossier ne modifie ni l’équipe ni l’état de mission.</x:v>
      </x:c>
      <x:c r="L17" s="22" t="str">
        <x:v>Recette visuelle Vercel encore nécessaire, notamment 390px, 1363px et ultralarge.
Les catalogues et cartes existants conservent leur contenu et leur logique ; le travail ne crée pas de nouveaux décors propres à chaque écran secondaire.
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
Les visuels et textes narratifs existants sont conservés.</x:v>
      </x:c>
      <x:c r="M17" s="22" t="str">
        <x:v>src/components/HubScreen.jsx
src/components/HubImmersion.css
src/game/immersiveHubState.js
scripts/immersiveHubState.test.mjs
src/App.jsx
src/components/game-system.css</x:v>
      </x:c>
      <x:c r="N17" s="22" t="str">
        <x:v>HUB-01, HUB-11, APP-06</x:v>
      </x:c>
      <x:c r="O17" s="22" t="str">
        <x:v>src/components/HubScreen.jsx:4920–5150
src/components/HubScreen.jsx:9630–9650
src/App.jsx:801–963
src/App.jsx:2598–2606</x:v>
      </x:c>
      <x:c r="P17" s="26" t="str">
        <x:f>IFERROR(HYPERLINK("https://github.com/darknigthmare/multiverse-breach/blob/5f44cf344d1a9fbb0dbd7c899510b7dd16cf25d6/src/components/HubScreen.jsx#L4920-L5150","Source de l’audit"),"Source de l’audit")</x:f>
        <x:v>Source de l’audit</x:v>
      </x:c>
      <x:c r="Q17" s="26" t="str">
        <x:f>IFERROR(HYPERLINK("https://github.com/darknigthmare/multiverse-breach/blob/codex/immersive-ui-audit-2026-10-25/src/components/HubScreen.jsx","Réalisation actuelle"),"Réalisation actuelle")</x:f>
        <x:v>Réalisation actuelle</x:v>
      </x:c>
      <x:c r="R17" s="22" t="str">
        <x:v>Présenter d’abord Objectif, équipe, prérequis essentiels et récompense attendue. Garder contexte, menaces et conséquences dans des panneaux ; ajouter un retour clair vers la préparation depuis le briefing sans perdre la sélection.</x:v>
      </x:c>
      <x:c r="S17" s="22" t="str">
        <x:v>Aucune observation de la nouvelle branche enregistrée.</x:v>
      </x:c>
      <x:c r="T17" s="22" t="str">
        <x:v>Non réalisé</x:v>
      </x:c>
    </x:row>
    <x:row r="18" ht="181" customHeight="1">
      <x:c r="A18" s="25" t="n">
        <x:v>12</x:v>
      </x:c>
      <x:c r="B18" s="21" t="str">
        <x:v>Cité-Mosaïque : exploration</x:v>
      </x:c>
      <x:c r="C18" s="21" t="str">
        <x:v>P1</x:v>
      </x:c>
      <x:c r="D18" s="21" t="str">
        <x:f>IF(E18=0,"À traiter",IF(COUNTIFS(Actions!$A$7:$A$45,"HUB-03",Actions!$D$7:$D$45,"À préciser")+COUNTIFS(Actions!$A$7:$A$45,"HUB-12",Actions!$D$7:$D$45,"À préciser")&gt;0,"À préciser",IF(COUNTIFS(Actions!$A$7:$A$45,"HUB-03",Actions!$D$7:$D$45,"Partiel")+COUNTIFS(Actions!$A$7:$A$45,"HUB-12",Actions!$D$7:$D$45,"Partiel")+COUNTIFS(Actions!$A$7:$A$45,"HUB-03",Actions!$D$7:$D$45,"À traiter")+COUNTIFS(Actions!$A$7:$A$45,"HUB-12",Actions!$D$7:$D$45,"À traiter")&gt;0,"Partiel",IF(COUNTIFS(Actions!$A$7:$A$45,"HUB-03",Actions!$D$7:$D$45,"Implémenté")+COUNTIFS(Actions!$A$7:$A$45,"HUB-12",Actions!$D$7:$D$45,"Implémenté")&gt;0,"Implémenté","Conservé"))))</x:f>
        <x:v>Implémenté</x:v>
      </x:c>
      <x:c r="E18" s="31" t="n">
        <x:f>COUNTIFS(Actions!$A$7:$A$45,"HUB-03")+COUNTIFS(Actions!$A$7:$A$45,"HUB-12")</x:f>
        <x:v>2</x:v>
      </x:c>
      <x:c r="F18" s="21" t="str">
        <x:f>IF(E18=0,"Non réalisés",IF(COUNTIFS(Actions!$A$7:$A$45,"HUB-03",Actions!$E$7:$E$45,"Échec")+COUNTIFS(Actions!$A$7:$A$45,"HUB-12",Actions!$E$7:$E$45,"Échec")&gt;0,"Échec",IF(COUNTIFS(Actions!$A$7:$A$45,"HUB-03",Actions!$E$7:$E$45,"Bloqués")+COUNTIFS(Actions!$A$7:$A$45,"HUB-12",Actions!$E$7:$E$45,"Bloqués")+COUNTIFS(Actions!$A$7:$A$45,"HUB-03",Actions!$E$7:$E$45,"Partiels")+COUNTIFS(Actions!$A$7:$A$45,"HUB-12",Actions!$E$7:$E$45,"Partiels")&gt;0,"Partiels",IF(COUNTIFS(Actions!$A$7:$A$45,"HUB-03",Actions!$E$7:$E$45,"Réussis")+COUNTIFS(Actions!$A$7:$A$45,"HUB-12",Actions!$E$7:$E$45,"Réussis")=E18,"Réussis",IF(COUNTIFS(Actions!$A$7:$A$45,"HUB-03",Actions!$E$7:$E$45,"Réussis")+COUNTIFS(Actions!$A$7:$A$45,"HUB-12",Actions!$E$7:$E$45,"Réussis")&gt;0,"Partiels",IF(COUNTIFS(Actions!$A$7:$A$45,"HUB-03",Actions!$E$7:$E$45,"Déclarés")+COUNTIFS(Actions!$A$7:$A$45,"HUB-12",Actions!$E$7:$E$45,"Déclarés")&gt;0,"Déclarés","Non réalisés"))))))</x:f>
        <x:v>Réussis</x:v>
      </x:c>
      <x:c r="G18" s="21" t="str">
        <x:f>IF(T18&lt;&gt;"Non réalisé",T18,IF(E18=0,"Non réalisé",IF(COUNTIFS(Actions!$A$7:$A$45,"HUB-03",Actions!$F$7:$F$45,"Échec")+COUNTIFS(Actions!$A$7:$A$45,"HUB-12",Actions!$F$7:$F$45,"Échec")&gt;0,"Échec",IF(COUNTIFS(Actions!$A$7:$A$45,"HUB-03",Actions!$F$7:$F$45,"Observé sur branche")+COUNTIFS(Actions!$A$7:$A$45,"HUB-12",Actions!$F$7:$F$45,"Observé sur branche")=E18,"Observé sur branche",IF(COUNTIFS(Actions!$A$7:$A$45,"HUB-03",Actions!$F$7:$F$45,"Observé sur branche")+COUNTIFS(Actions!$A$7:$A$45,"HUB-12",Actions!$F$7:$F$45,"Observé sur branche")+COUNTIFS(Actions!$A$7:$A$45,"HUB-03",Actions!$F$7:$F$45,"Partiel")+COUNTIFS(Actions!$A$7:$A$45,"HUB-12",Actions!$F$7:$F$45,"Partiel")&gt;0,"Partiel","Non réalisé")))))</x:f>
        <x:v>Non réalisé</x:v>
      </x:c>
      <x:c r="H18" s="21" t="str">
        <x:v>La cité bénéficie déjà d’une session dédiée qui masque la navigation générale. Elle conserve cependant des colonnes explicatives et une scène encadrée dans une coque centrée, plutôt qu’un environnement occupant tout l’écran.</x:v>
      </x:c>
      <x:c r="I18" s="21" t="str">
        <x:v>HUB-03 — Cité rendue dans une scène fixe couvrant le viewport : lieu courant, interaction, mini-carte et objectif restent contextuels.
HUB-12 — Revue de code après premier commit : les jauges et les dix commandes Extinction partagent désormais un quai à hauteur naturelle. Même principe pour la cache Course et ses commandes ; leur retour à la ligne ne provoque plus de chevauchement lié à des offsets fixes.</x:v>
      </x:c>
      <x:c r="J18" s="21" t="str">
        <x:v>Conserver déplacements clavier et tactiles, interactions, quartiers, raccourcis et informations. Le ratio du canvas est protégé par ses styles importés : ne pas conclure à un étirement certain sans mesure.</x:v>
      </x:c>
      <x:c r="K18" s="21" t="str">
        <x:v>Le monde doit rester visible sans défilement pour atteindre une action. Changer de taille doit préserver ratio et coordonnées d’interaction, et revenir d’un dossier doit retrouver le quartier et la position utiles.</x:v>
      </x:c>
      <x:c r="L18" s="21" t="str">
        <x:v>Les portails restent soumis à proximité et autorisation ; le terminal ne téléporte pas dans un univers verrouillé.
Le décor illustré ajouté réutilise uniquement l’Atrium existant. Les autres quartiers gardent leur décor procédural.
La position est sauvegardée à un point de contrôle toutes les cinq secondes ; une fermeture brutale peut perdre les dernières secondes de marche.
La vérification des trois dimensions est une vérification mathématique des overlays dessinés et une revue de CSS ; aucun rendu navigateur des changements n’est revendiqué.
Le texte des scènes et les jauges historiques dessinées par les autres moteurs ne deviennent pas tous vectoriels ni uniformément redimensionnables. La recette preview doit vérifier aussi les préférences agrandies.
Le guide de Cité et les libellés longs doivent encore être contrôlés sur les faibles hauteurs de viewport.</x:v>
      </x:c>
      <x:c r="M18" s="21" t="str">
        <x:v>src/components/HubScreen.jsx
src/components/HubImmersion.css
src/components/useSceneViewport.js
src/components/ImmersiveDrawer.jsx
src/game/immersiveHubState.js
scripts/mosaicCityRuntime.test.mjs
scripts/immersiveHubState.test.mjs
src/components/RaceMode.jsx
scripts/nonCombatTrial.test.mjs</x:v>
      </x:c>
      <x:c r="N18" s="21" t="str">
        <x:v>HUB-03, HUB-12</x:v>
      </x:c>
      <x:c r="O18" s="21" t="str">
        <x:v>src/components/HubScreen.jsx:2208–2264
src/components/HubScreen.jsx:3199–3322
src/components/HubScreen.jsx:9321–9350
src/index.css:8158–8180
src/index.css:8316–8328</x:v>
      </x:c>
      <x:c r="P18" s="27" t="str">
        <x:f>IFERROR(HYPERLINK("https://github.com/darknigthmare/multiverse-breach/blob/5f44cf344d1a9fbb0dbd7c899510b7dd16cf25d6/src/components/HubScreen.jsx#L2208-L2264","Source de l’audit"),"Source de l’audit")</x:f>
        <x:v>Source de l’audit</x:v>
      </x:c>
      <x:c r="Q18" s="27" t="str">
        <x:f>IFERROR(HYPERLINK("https://github.com/darknigthmare/multiverse-breach/blob/codex/immersive-ui-audit-2026-10-25/src/components/HubScreen.jsx","Réalisation actuelle"),"Réalisation actuelle")</x:f>
        <x:v>Réalisation actuelle</x:v>
      </x:c>
      <x:c r="R18" s="21" t="str">
        <x:v>Donner le viewport à l’exploration. Placer uniquement quartier, objectif court, minimap, interaction et pause dans le HUD ; ouvrir le journal, les statistiques et les destinations depuis une tablette ou une borne.</x:v>
      </x:c>
      <x:c r="S18" s="21" t="str">
        <x:v>Aucune observation de la nouvelle branche enregistrée.</x:v>
      </x:c>
      <x:c r="T18" s="21" t="str">
        <x:v>Non réalisé</x:v>
      </x:c>
    </x:row>
    <x:row r="19" ht="181" customHeight="1">
      <x:c r="A19" s="24" t="n">
        <x:v>13</x:v>
      </x:c>
      <x:c r="B19" s="22" t="str">
        <x:v>Cité : tutoriel, destinations et services</x:v>
      </x:c>
      <x:c r="C19" s="22" t="str">
        <x:v>P1</x:v>
      </x:c>
      <x:c r="D19" s="22" t="str">
        <x:f>IF(E19=0,"À traiter",IF(COUNTIFS(Actions!$A$7:$A$45,"HUB-03",Actions!$D$7:$D$45,"À préciser")+COUNTIFS(Actions!$A$7:$A$45,"HUB-12",Actions!$D$7:$D$45,"À préciser")&gt;0,"À préciser",IF(COUNTIFS(Actions!$A$7:$A$45,"HUB-03",Actions!$D$7:$D$45,"Partiel")+COUNTIFS(Actions!$A$7:$A$45,"HUB-12",Actions!$D$7:$D$45,"Partiel")+COUNTIFS(Actions!$A$7:$A$45,"HUB-03",Actions!$D$7:$D$45,"À traiter")+COUNTIFS(Actions!$A$7:$A$45,"HUB-12",Actions!$D$7:$D$45,"À traiter")&gt;0,"Partiel",IF(COUNTIFS(Actions!$A$7:$A$45,"HUB-03",Actions!$D$7:$D$45,"Implémenté")+COUNTIFS(Actions!$A$7:$A$45,"HUB-12",Actions!$D$7:$D$45,"Implémenté")&gt;0,"Implémenté","Conservé"))))</x:f>
        <x:v>Implémenté</x:v>
      </x:c>
      <x:c r="E19" s="30" t="n">
        <x:f>COUNTIFS(Actions!$A$7:$A$45,"HUB-03")+COUNTIFS(Actions!$A$7:$A$45,"HUB-12")</x:f>
        <x:v>2</x:v>
      </x:c>
      <x:c r="F19" s="22" t="str">
        <x:f>IF(E19=0,"Non réalisés",IF(COUNTIFS(Actions!$A$7:$A$45,"HUB-03",Actions!$E$7:$E$45,"Échec")+COUNTIFS(Actions!$A$7:$A$45,"HUB-12",Actions!$E$7:$E$45,"Échec")&gt;0,"Échec",IF(COUNTIFS(Actions!$A$7:$A$45,"HUB-03",Actions!$E$7:$E$45,"Bloqués")+COUNTIFS(Actions!$A$7:$A$45,"HUB-12",Actions!$E$7:$E$45,"Bloqués")+COUNTIFS(Actions!$A$7:$A$45,"HUB-03",Actions!$E$7:$E$45,"Partiels")+COUNTIFS(Actions!$A$7:$A$45,"HUB-12",Actions!$E$7:$E$45,"Partiels")&gt;0,"Partiels",IF(COUNTIFS(Actions!$A$7:$A$45,"HUB-03",Actions!$E$7:$E$45,"Réussis")+COUNTIFS(Actions!$A$7:$A$45,"HUB-12",Actions!$E$7:$E$45,"Réussis")=E19,"Réussis",IF(COUNTIFS(Actions!$A$7:$A$45,"HUB-03",Actions!$E$7:$E$45,"Réussis")+COUNTIFS(Actions!$A$7:$A$45,"HUB-12",Actions!$E$7:$E$45,"Réussis")&gt;0,"Partiels",IF(COUNTIFS(Actions!$A$7:$A$45,"HUB-03",Actions!$E$7:$E$45,"Déclarés")+COUNTIFS(Actions!$A$7:$A$45,"HUB-12",Actions!$E$7:$E$45,"Déclarés")&gt;0,"Déclarés","Non réalisés"))))))</x:f>
        <x:v>Réussis</x:v>
      </x:c>
      <x:c r="G19" s="22" t="str">
        <x:f>IF(T19&lt;&gt;"Non réalisé",T19,IF(E19=0,"Non réalisé",IF(COUNTIFS(Actions!$A$7:$A$45,"HUB-03",Actions!$F$7:$F$45,"Échec")+COUNTIFS(Actions!$A$7:$A$45,"HUB-12",Actions!$F$7:$F$45,"Échec")&gt;0,"Échec",IF(COUNTIFS(Actions!$A$7:$A$45,"HUB-03",Actions!$F$7:$F$45,"Observé sur branche")+COUNTIFS(Actions!$A$7:$A$45,"HUB-12",Actions!$F$7:$F$45,"Observé sur branche")=E19,"Observé sur branche",IF(COUNTIFS(Actions!$A$7:$A$45,"HUB-03",Actions!$F$7:$F$45,"Observé sur branche")+COUNTIFS(Actions!$A$7:$A$45,"HUB-12",Actions!$F$7:$F$45,"Observé sur branche")+COUNTIFS(Actions!$A$7:$A$45,"HUB-03",Actions!$F$7:$F$45,"Partiel")+COUNTIFS(Actions!$A$7:$A$45,"HUB-12",Actions!$F$7:$F$45,"Partiel")&gt;0,"Partiel","Non réalisé")))))</x:f>
        <x:v>Non réalisé</x:v>
      </x:c>
      <x:c r="H19" s="22" t="str">
        <x:v>L’exploration affiche plusieurs blocs d’accueil et de guide ainsi que des relectures. L’atlas des destinations dispose déjà de recherche et pagination. Certaines zones de service nommées n’ont pas d’action reliée dans leurs définitions.</x:v>
      </x:c>
      <x:c r="I19" s="22" t="str">
        <x:v>HUB-03 — Cité rendue dans une scène fixe couvrant le viewport : lieu courant, interaction, mini-carte et objectif restent contextuels.
HUB-12 — Revue de code après premier commit : les jauges et les dix commandes Extinction partagent désormais un quai à hauteur naturelle. Même principe pour la cache Course et ses commandes ; leur retour à la ligne ne provoque plus de chevauchement lié à des offsets fixes.</x:v>
      </x:c>
      <x:c r="J19" s="22" t="str">
        <x:v>Conserver tous les tutoriels, destinations, descriptions et raccourcis. Le passage Cité vers Missions ou Codex transmet déjà l’univers ; préserver cette amélioration au lieu de la présenter comme absente.</x:v>
      </x:c>
      <x:c r="K19" s="22" t="str">
        <x:v>Chaque borne doit mener à une fonction réelle ou expliquer son état. Retourner au monde doit conserver le point de reprise, et fermer une aide ne doit pas désactiver la progression tutorielle.</x:v>
      </x:c>
      <x:c r="L19" s="22" t="str">
        <x:v>Les portails restent soumis à proximité et autorisation ; le terminal ne téléporte pas dans un univers verrouillé.
Le décor illustré ajouté réutilise uniquement l’Atrium existant. Les autres quartiers gardent leur décor procédural.
La position est sauvegardée à un point de contrôle toutes les cinq secondes ; une fermeture brutale peut perdre les dernières secondes de marche.
La vérification des trois dimensions est une vérification mathématique des overlays dessinés et une revue de CSS ; aucun rendu navigateur des changements n’est revendiqué.
Le texte des scènes et les jauges historiques dessinées par les autres moteurs ne deviennent pas tous vectoriels ni uniformément redimensionnables. La recette preview doit vérifier aussi les préférences agrandies.
Le guide de Cité et les libellés longs doivent encore être contrôlés sur les faibles hauteurs de viewport.</x:v>
      </x:c>
      <x:c r="M19" s="22" t="str">
        <x:v>src/components/HubScreen.jsx
src/components/HubImmersion.css
src/components/useSceneViewport.js
src/components/ImmersiveDrawer.jsx
src/game/immersiveHubState.js
scripts/mosaicCityRuntime.test.mjs
scripts/immersiveHubState.test.mjs
src/components/RaceMode.jsx
scripts/nonCombatTrial.test.mjs</x:v>
      </x:c>
      <x:c r="N19" s="22" t="str">
        <x:v>HUB-03, HUB-12</x:v>
      </x:c>
      <x:c r="O19" s="22" t="str">
        <x:v>src/components/HubScreen.jsx:2463–2473
src/components/HubScreen.jsx:3217–3238
src/components/HubScreen.jsx:3278–3303
src/components/HubScreen.jsx:9334–9350</x:v>
      </x:c>
      <x:c r="P19" s="26" t="str">
        <x:f>IFERROR(HYPERLINK("https://github.com/darknigthmare/multiverse-breach/blob/5f44cf344d1a9fbb0dbd7c899510b7dd16cf25d6/src/components/HubScreen.jsx#L2463-L2473","Source de l’audit"),"Source de l’audit")</x:f>
        <x:v>Source de l’audit</x:v>
      </x:c>
      <x:c r="Q19" s="26" t="str">
        <x:f>IFERROR(HYPERLINK("https://github.com/darknigthmare/multiverse-breach/blob/codex/immersive-ui-audit-2026-10-25/src/components/HubScreen.jsx","Réalisation actuelle"),"Réalisation actuelle")</x:f>
        <x:v>Réalisation actuelle</x:v>
      </x:c>
      <x:c r="R19" s="22" t="str">
        <x:v>Montrer une transmission ou une tâche tutorielle à la fois, puis ranger sa relecture dans Aide. Ouvrir l’atlas à la demande et relier les services aux écrans existants lorsque leur fonction est disponible.</x:v>
      </x:c>
      <x:c r="S19" s="22" t="str">
        <x:v>Aucune observation de la nouvelle branche enregistrée.</x:v>
      </x:c>
      <x:c r="T19" s="22" t="str">
        <x:v>Non réalisé</x:v>
      </x:c>
    </x:row>
    <x:row r="20" ht="51" customHeight="1">
      <x:c r="A20" s="25" t="n">
        <x:v>14</x:v>
      </x:c>
      <x:c r="B20" s="21" t="str">
        <x:v>Zone d’Extinction : préparation</x:v>
      </x:c>
      <x:c r="C20" s="21" t="str">
        <x:v>P1</x:v>
      </x:c>
      <x:c r="D20" s="21" t="str">
        <x:f>IF(E20=0,"À traiter",IF(COUNTIFS(Actions!$A$7:$A$45,"HUB-04",Actions!$D$7:$D$45,"À préciser")&gt;0,"À préciser",IF(COUNTIFS(Actions!$A$7:$A$45,"HUB-04",Actions!$D$7:$D$45,"Partiel")+COUNTIFS(Actions!$A$7:$A$45,"HUB-04",Actions!$D$7:$D$45,"À traiter")&gt;0,"Partiel",IF(COUNTIFS(Actions!$A$7:$A$45,"HUB-04",Actions!$D$7:$D$45,"Implémenté")&gt;0,"Implémenté","Conservé"))))</x:f>
        <x:v>Implémenté</x:v>
      </x:c>
      <x:c r="E20" s="31" t="n">
        <x:f>COUNTIFS(Actions!$A$7:$A$45,"HUB-04")</x:f>
        <x:v>1</x:v>
      </x:c>
      <x:c r="F20" s="21" t="str">
        <x:f>IF(E20=0,"Non réalisés",IF(COUNTIFS(Actions!$A$7:$A$45,"HUB-04",Actions!$E$7:$E$45,"Échec")&gt;0,"Échec",IF(COUNTIFS(Actions!$A$7:$A$45,"HUB-04",Actions!$E$7:$E$45,"Bloqués")+COUNTIFS(Actions!$A$7:$A$45,"HUB-04",Actions!$E$7:$E$45,"Partiels")&gt;0,"Partiels",IF(COUNTIFS(Actions!$A$7:$A$45,"HUB-04",Actions!$E$7:$E$45,"Réussis")=E20,"Réussis",IF(COUNTIFS(Actions!$A$7:$A$45,"HUB-04",Actions!$E$7:$E$45,"Réussis")&gt;0,"Partiels",IF(COUNTIFS(Actions!$A$7:$A$45,"HUB-04",Actions!$E$7:$E$45,"Déclarés")&gt;0,"Déclarés","Non réalisés"))))))</x:f>
        <x:v>Réussis</x:v>
      </x:c>
      <x:c r="G20" s="21" t="str">
        <x:f>IF(T20&lt;&gt;"Non réalisé",T20,IF(E20=0,"Non réalisé",IF(COUNTIFS(Actions!$A$7:$A$45,"HUB-04",Actions!$F$7:$F$45,"Échec")&gt;0,"Échec",IF(COUNTIFS(Actions!$A$7:$A$45,"HUB-04",Actions!$F$7:$F$45,"Observé sur branche")=E20,"Observé sur branche",IF(COUNTIFS(Actions!$A$7:$A$45,"HUB-04",Actions!$F$7:$F$45,"Observé sur branche")+COUNTIFS(Actions!$A$7:$A$45,"HUB-04",Actions!$F$7:$F$45,"Partiel")&gt;0,"Partiel","Non réalisé")))))</x:f>
        <x:v>Non réalisé</x:v>
      </x:c>
      <x:c r="H20" s="21" t="str">
        <x:v>La préparation propose déjà les variantes de mode, le héros, une description et le rôle avant lancement. La forme actuelle repose surtout sur des sélecteurs et des explications regroupés dans un panneau.</x:v>
      </x:c>
      <x:c r="I20" s="21" t="str">
        <x:v>HUB-04 — Préparation Extinction avec quatre cartes de variantes, aperçu de la signature et carrière XP/runs/victoires.</x:v>
      </x:c>
      <x:c r="J20" s="21" t="str">
        <x:v>Conserver les quatre variantes, tous les héros autorisés, les descriptions de rôle et les conditions de lancement. Ne pas remplacer les paramètres par une sélection visuelle moins complète.</x:v>
      </x:c>
      <x:c r="K20" s="21" t="str">
        <x:v>Lancer doit utiliser exactement la configuration affichée. Revenir d’une partie ou annuler doit retrouver les choix, et les contrôles doivent rester accessibles sans imposer la lecture de toute la documentation.</x:v>
      </x:c>
      <x:c r="L20" s="21" t="str">
        <x:v>Recette tactile et contrôle de la densité des boutons sur petits écrans encore nécessaires en preview.</x:v>
      </x:c>
      <x:c r="M20" s="21" t="str">
        <x:v>src/components/HubScreen.jsx
src/components/HubImmersion.css
src/components/useSceneViewport.js</x:v>
      </x:c>
      <x:c r="N20" s="21" t="str">
        <x:v>HUB-04</x:v>
      </x:c>
      <x:c r="O20" s="21" t="str">
        <x:v>src/components/HubScreen.jsx:4435–4474
src/components/HubScreen.jsx:5183–5256</x:v>
      </x:c>
      <x:c r="P20" s="27" t="str">
        <x:f>IFERROR(HYPERLINK("https://github.com/darknigthmare/multiverse-breach/blob/5f44cf344d1a9fbb0dbd7c899510b7dd16cf25d6/src/components/HubScreen.jsx#L4435-L4474","Source de l’audit"),"Source de l’audit")</x:f>
        <x:v>Source de l’audit</x:v>
      </x:c>
      <x:c r="Q20" s="27" t="str">
        <x:f>IFERROR(HYPERLINK("https://github.com/darknigthmare/multiverse-breach/blob/codex/immersive-ui-audit-2026-10-25/src/components/HubScreen.jsx","Réalisation actuelle"),"Réalisation actuelle")</x:f>
        <x:v>Réalisation actuelle</x:v>
      </x:c>
      <x:c r="R20" s="21" t="str">
        <x:v>Construire une présentation de déploiement avec le héros et l’environnement dominants, les variantes sous forme de choix lisibles et les consignes dans un briefing court. La configuration détaillée peut rester dans un sous-menu.</x:v>
      </x:c>
      <x:c r="S20" s="21" t="str">
        <x:v>Aucune observation de la nouvelle branche enregistrée.</x:v>
      </x:c>
      <x:c r="T20" s="21" t="str">
        <x:v>Non réalisé</x:v>
      </x:c>
    </x:row>
    <x:row r="21" ht="129" customHeight="1">
      <x:c r="A21" s="24" t="n">
        <x:v>15</x:v>
      </x:c>
      <x:c r="B21" s="22" t="str">
        <x:v>Zone d’Extinction : partie</x:v>
      </x:c>
      <x:c r="C21" s="22" t="str">
        <x:v>P1</x:v>
      </x:c>
      <x:c r="D21" s="22" t="str">
        <x:f>IF(E21=0,"À traiter",IF(COUNTIFS(Actions!$A$7:$A$45,"HUB-04",Actions!$D$7:$D$45,"À préciser")+COUNTIFS(Actions!$A$7:$A$45,"HUB-12",Actions!$D$7:$D$45,"À préciser")&gt;0,"À préciser",IF(COUNTIFS(Actions!$A$7:$A$45,"HUB-04",Actions!$D$7:$D$45,"Partiel")+COUNTIFS(Actions!$A$7:$A$45,"HUB-12",Actions!$D$7:$D$45,"Partiel")+COUNTIFS(Actions!$A$7:$A$45,"HUB-04",Actions!$D$7:$D$45,"À traiter")+COUNTIFS(Actions!$A$7:$A$45,"HUB-12",Actions!$D$7:$D$45,"À traiter")&gt;0,"Partiel",IF(COUNTIFS(Actions!$A$7:$A$45,"HUB-04",Actions!$D$7:$D$45,"Implémenté")+COUNTIFS(Actions!$A$7:$A$45,"HUB-12",Actions!$D$7:$D$45,"Implémenté")&gt;0,"Implémenté","Conservé"))))</x:f>
        <x:v>Implémenté</x:v>
      </x:c>
      <x:c r="E21" s="30" t="n">
        <x:f>COUNTIFS(Actions!$A$7:$A$45,"HUB-04")+COUNTIFS(Actions!$A$7:$A$45,"HUB-12")</x:f>
        <x:v>2</x:v>
      </x:c>
      <x:c r="F21" s="22" t="str">
        <x:f>IF(E21=0,"Non réalisés",IF(COUNTIFS(Actions!$A$7:$A$45,"HUB-04",Actions!$E$7:$E$45,"Échec")+COUNTIFS(Actions!$A$7:$A$45,"HUB-12",Actions!$E$7:$E$45,"Échec")&gt;0,"Échec",IF(COUNTIFS(Actions!$A$7:$A$45,"HUB-04",Actions!$E$7:$E$45,"Bloqués")+COUNTIFS(Actions!$A$7:$A$45,"HUB-12",Actions!$E$7:$E$45,"Bloqués")+COUNTIFS(Actions!$A$7:$A$45,"HUB-04",Actions!$E$7:$E$45,"Partiels")+COUNTIFS(Actions!$A$7:$A$45,"HUB-12",Actions!$E$7:$E$45,"Partiels")&gt;0,"Partiels",IF(COUNTIFS(Actions!$A$7:$A$45,"HUB-04",Actions!$E$7:$E$45,"Réussis")+COUNTIFS(Actions!$A$7:$A$45,"HUB-12",Actions!$E$7:$E$45,"Réussis")=E21,"Réussis",IF(COUNTIFS(Actions!$A$7:$A$45,"HUB-04",Actions!$E$7:$E$45,"Réussis")+COUNTIFS(Actions!$A$7:$A$45,"HUB-12",Actions!$E$7:$E$45,"Réussis")&gt;0,"Partiels",IF(COUNTIFS(Actions!$A$7:$A$45,"HUB-04",Actions!$E$7:$E$45,"Déclarés")+COUNTIFS(Actions!$A$7:$A$45,"HUB-12",Actions!$E$7:$E$45,"Déclarés")&gt;0,"Déclarés","Non réalisés"))))))</x:f>
        <x:v>Réussis</x:v>
      </x:c>
      <x:c r="G21" s="22" t="str">
        <x:f>IF(T21&lt;&gt;"Non réalisé",T21,IF(E21=0,"Non réalisé",IF(COUNTIFS(Actions!$A$7:$A$45,"HUB-04",Actions!$F$7:$F$45,"Échec")+COUNTIFS(Actions!$A$7:$A$45,"HUB-12",Actions!$F$7:$F$45,"Échec")&gt;0,"Échec",IF(COUNTIFS(Actions!$A$7:$A$45,"HUB-04",Actions!$F$7:$F$45,"Observé sur branche")+COUNTIFS(Actions!$A$7:$A$45,"HUB-12",Actions!$F$7:$F$45,"Observé sur branche")=E21,"Observé sur branche",IF(COUNTIFS(Actions!$A$7:$A$45,"HUB-04",Actions!$F$7:$F$45,"Observé sur branche")+COUNTIFS(Actions!$A$7:$A$45,"HUB-12",Actions!$F$7:$F$45,"Observé sur branche")+COUNTIFS(Actions!$A$7:$A$45,"HUB-04",Actions!$F$7:$F$45,"Partiel")+COUNTIFS(Actions!$A$7:$A$45,"HUB-12",Actions!$F$7:$F$45,"Partiel")&gt;0,"Partiel","Non réalisé")))))</x:f>
        <x:v>Non réalisé</x:v>
      </x:c>
      <x:c r="H21" s="22" t="str">
        <x:v>Pendant la partie, la configuration est masquée, mais statistiques, objectif et plusieurs boutons occupent encore une zone avant le canvas. Le cadre actif reste plafonné en largeur dans la session dédiée.</x:v>
      </x:c>
      <x:c r="I21" s="22" t="str">
        <x:v>HUB-04 — Préparation Extinction avec quatre cartes de variantes, aperçu de la signature et carrière XP/runs/victoires.
HUB-12 — Revue de code après premier commit : les jauges et les dix commandes Extinction partagent désormais un quai à hauteur naturelle. Même principe pour la cache Course et ses commandes ; leur retour à la ligne ne provoque plus de chevauchement lié à des offsets fixes.</x:v>
      </x:c>
      <x:c r="J21" s="22" t="str">
        <x:v>Conserver tous les contrôles de tir et de déplacement, les variantes, l’état de la session et les informations nécessaires. L’interface doit rester lisible même lorsque le décor est lumineux ou chargé.</x:v>
      </x:c>
      <x:c r="K21" s="22" t="str">
        <x:v>Aucune commande indispensable ne doit demander de faire défiler la page pendant le tir. Pause, reprise et changement de visibilité doivent conserver la session et éviter les entrées maintenues involontaires.</x:v>
      </x:c>
      <x:c r="L21" s="22" t="str">
        <x:v>Recette tactile et contrôle de la densité des boutons sur petits écrans encore nécessaires en preview.
La vérification des trois dimensions est une vérification mathématique des overlays dessinés et une revue de CSS ; aucun rendu navigateur des changements n’est revendiqué.
Le texte des scènes et les jauges historiques dessinées par les autres moteurs ne deviennent pas tous vectoriels ni uniformément redimensionnables. La recette preview doit vérifier aussi les préférences agrandies.
Le guide de Cité et les libellés longs doivent encore être contrôlés sur les faibles hauteurs de viewport.</x:v>
      </x:c>
      <x:c r="M21" s="22" t="str">
        <x:v>src/components/HubScreen.jsx
src/components/HubImmersion.css
src/components/useSceneViewport.js
src/components/RaceMode.jsx
src/game/immersiveHubState.js
scripts/immersiveHubState.test.mjs
scripts/nonCombatTrial.test.mjs</x:v>
      </x:c>
      <x:c r="N21" s="22" t="str">
        <x:v>HUB-04, HUB-12</x:v>
      </x:c>
      <x:c r="O21" s="22" t="str">
        <x:v>src/components/HubScreen.jsx:4475–4535
src/index.css:8395–8400
src/components/HubScreen.jsx:5313–5335</x:v>
      </x:c>
      <x:c r="P21" s="26" t="str">
        <x:f>IFERROR(HYPERLINK("https://github.com/darknigthmare/multiverse-breach/blob/5f44cf344d1a9fbb0dbd7c899510b7dd16cf25d6/src/components/HubScreen.jsx#L4475-L4535","Source de l’audit"),"Source de l’audit")</x:f>
        <x:v>Source de l’audit</x:v>
      </x:c>
      <x:c r="Q21" s="26" t="str">
        <x:f>IFERROR(HYPERLINK("https://github.com/darknigthmare/multiverse-breach/blob/codex/immersive-ui-audit-2026-10-25/src/components/HubScreen.jsx","Réalisation actuelle"),"Réalisation actuelle")</x:f>
        <x:v>Réalisation actuelle</x:v>
      </x:c>
      <x:c r="R21" s="22" t="str">
        <x:v>Faire de la vue FPS le fond de l’écran et y ancrer munitions, santé et objectif. Ranger les explications détaillées en pause, et placer les commandes tactiles près des zones d’usage selon le périphérique.</x:v>
      </x:c>
      <x:c r="S21" s="22" t="str">
        <x:v>Aucune observation de la nouvelle branche enregistrée.</x:v>
      </x:c>
      <x:c r="T21" s="22" t="str">
        <x:v>Non réalisé</x:v>
      </x:c>
    </x:row>
    <x:row r="22" ht="142" customHeight="1">
      <x:c r="A22" s="25" t="n">
        <x:v>16</x:v>
      </x:c>
      <x:c r="B22" s="21" t="str">
        <x:v>Zone d’Extinction : bilan et récompenses</x:v>
      </x:c>
      <x:c r="C22" s="21" t="str">
        <x:v>P0</x:v>
      </x:c>
      <x:c r="D22" s="21" t="str">
        <x:f>IF(E22=0,"À traiter",IF(COUNTIFS(Actions!$A$7:$A$45,"HUB-05",Actions!$D$7:$D$45,"À préciser")+COUNTIFS(Actions!$A$7:$A$45,"HUB-12",Actions!$D$7:$D$45,"À préciser")&gt;0,"À préciser",IF(COUNTIFS(Actions!$A$7:$A$45,"HUB-05",Actions!$D$7:$D$45,"Partiel")+COUNTIFS(Actions!$A$7:$A$45,"HUB-12",Actions!$D$7:$D$45,"Partiel")+COUNTIFS(Actions!$A$7:$A$45,"HUB-05",Actions!$D$7:$D$45,"À traiter")+COUNTIFS(Actions!$A$7:$A$45,"HUB-12",Actions!$D$7:$D$45,"À traiter")&gt;0,"Partiel",IF(COUNTIFS(Actions!$A$7:$A$45,"HUB-05",Actions!$D$7:$D$45,"Implémenté")+COUNTIFS(Actions!$A$7:$A$45,"HUB-12",Actions!$D$7:$D$45,"Implémenté")&gt;0,"Implémenté","Conservé"))))</x:f>
        <x:v>Implémenté</x:v>
      </x:c>
      <x:c r="E22" s="31" t="n">
        <x:f>COUNTIFS(Actions!$A$7:$A$45,"HUB-05")+COUNTIFS(Actions!$A$7:$A$45,"HUB-12")</x:f>
        <x:v>2</x:v>
      </x:c>
      <x:c r="F22" s="21" t="str">
        <x:f>IF(E22=0,"Non réalisés",IF(COUNTIFS(Actions!$A$7:$A$45,"HUB-05",Actions!$E$7:$E$45,"Échec")+COUNTIFS(Actions!$A$7:$A$45,"HUB-12",Actions!$E$7:$E$45,"Échec")&gt;0,"Échec",IF(COUNTIFS(Actions!$A$7:$A$45,"HUB-05",Actions!$E$7:$E$45,"Bloqués")+COUNTIFS(Actions!$A$7:$A$45,"HUB-12",Actions!$E$7:$E$45,"Bloqués")+COUNTIFS(Actions!$A$7:$A$45,"HUB-05",Actions!$E$7:$E$45,"Partiels")+COUNTIFS(Actions!$A$7:$A$45,"HUB-12",Actions!$E$7:$E$45,"Partiels")&gt;0,"Partiels",IF(COUNTIFS(Actions!$A$7:$A$45,"HUB-05",Actions!$E$7:$E$45,"Réussis")+COUNTIFS(Actions!$A$7:$A$45,"HUB-12",Actions!$E$7:$E$45,"Réussis")=E22,"Réussis",IF(COUNTIFS(Actions!$A$7:$A$45,"HUB-05",Actions!$E$7:$E$45,"Réussis")+COUNTIFS(Actions!$A$7:$A$45,"HUB-12",Actions!$E$7:$E$45,"Réussis")&gt;0,"Partiels",IF(COUNTIFS(Actions!$A$7:$A$45,"HUB-05",Actions!$E$7:$E$45,"Déclarés")+COUNTIFS(Actions!$A$7:$A$45,"HUB-12",Actions!$E$7:$E$45,"Déclarés")&gt;0,"Déclarés","Non réalisés"))))))</x:f>
        <x:v>Réussis</x:v>
      </x:c>
      <x:c r="G22" s="21" t="str">
        <x:f>IF(T22&lt;&gt;"Non réalisé",T22,IF(E22=0,"Non réalisé",IF(COUNTIFS(Actions!$A$7:$A$45,"HUB-05",Actions!$F$7:$F$45,"Échec")+COUNTIFS(Actions!$A$7:$A$45,"HUB-12",Actions!$F$7:$F$45,"Échec")&gt;0,"Échec",IF(COUNTIFS(Actions!$A$7:$A$45,"HUB-05",Actions!$F$7:$F$45,"Observé sur branche")+COUNTIFS(Actions!$A$7:$A$45,"HUB-12",Actions!$F$7:$F$45,"Observé sur branche")=E22,"Observé sur branche",IF(COUNTIFS(Actions!$A$7:$A$45,"HUB-05",Actions!$F$7:$F$45,"Observé sur branche")+COUNTIFS(Actions!$A$7:$A$45,"HUB-12",Actions!$F$7:$F$45,"Observé sur branche")+COUNTIFS(Actions!$A$7:$A$45,"HUB-05",Actions!$F$7:$F$45,"Partiel")+COUNTIFS(Actions!$A$7:$A$45,"HUB-12",Actions!$F$7:$F$45,"Partiel")&gt;0,"Partiel","Non réalisé")))))</x:f>
        <x:v>Non réalisé</x:v>
      </x:c>
      <x:c r="H22" s="21" t="str">
        <x:v>La fin de session transmet un rapport contenant résultat et récompenses. Le callback parent récupéré ferme la session sans exploiter ce rapport, alors que le bilan annonce des gains d’or, fragments et expérience.</x:v>
      </x:c>
      <x:c r="I22" s="21" t="str">
        <x:v>HUB-05 — Chaque run reçoit un identifiant unique. Le rapport de verdict est consommé par setGold, setBreachShards et setActivityProgress.
HUB-12 — Revue de code après premier commit : les jauges et les dix commandes Extinction partagent désormais un quai à hauteur naturelle. Même principe pour la cache Course et ses commandes ; leur retour à la ligne ne provoque plus de chevauchement lié à des offsets fixes.</x:v>
      </x:c>
      <x:c r="J22" s="21" t="str">
        <x:v>Conserver le rapport, ses scores, son résultat et ses gains prévus. Ne pas ajouter une deuxième attribution lors de la fermeture, de la reprise ou de l’affichage du résultat.</x:v>
      </x:c>
      <x:c r="K22" s="21" t="str">
        <x:v>Les valeurs avant et après une victoire doivent correspondre aux gains affichés. Revoir ou fermer le bilan ne doit pas les multiplier ; un abandon ne doit pas être traité comme une victoire.</x:v>
      </x:c>
      <x:c r="L22" s="21" t="str">
        <x:v>Les gains sont ceux du moteur existant ; aucune révision économique ajoutée.
Une victoire jouée de bout en bout dans chaque variante reste à vérifier en preview. La preuve actuelle couvre le callback réel et la simulation déterministe.
La vérification des trois dimensions est une vérification mathématique des overlays dessinés et une revue de CSS ; aucun rendu navigateur des changements n’est revendiqué.
Le texte des scènes et les jauges historiques dessinées par les autres moteurs ne deviennent pas tous vectoriels ni uniformément redimensionnables. La recette preview doit vérifier aussi les préférences agrandies.
Le guide de Cité et les libellés longs doivent encore être contrôlés sur les faibles hauteurs de viewport.</x:v>
      </x:c>
      <x:c r="M22" s="21" t="str">
        <x:v>src/components/HubScreen.jsx
src/game/immersiveHubState.js
scripts/immersiveHubState.test.mjs
src/components/RaceMode.jsx
src/components/HubImmersion.css
src/components/useSceneViewport.js
scripts/nonCombatTrial.test.mjs</x:v>
      </x:c>
      <x:c r="N22" s="21" t="str">
        <x:v>HUB-05, HUB-12</x:v>
      </x:c>
      <x:c r="O22" s="21" t="str">
        <x:v>src/components/HubScreen.jsx:3650–3679
src/components/HubScreen.jsx:4493–4497
src/components/HubScreen.jsx:5220–5223</x:v>
      </x:c>
      <x:c r="P22" s="27" t="str">
        <x:f>IFERROR(HYPERLINK("https://github.com/darknigthmare/multiverse-breach/blob/5f44cf344d1a9fbb0dbd7c899510b7dd16cf25d6/src/components/HubScreen.jsx#L3650-L3679","Source de l’audit"),"Source de l’audit")</x:f>
        <x:v>Source de l’audit</x:v>
      </x:c>
      <x:c r="Q22" s="27" t="str">
        <x:f>IFERROR(HYPERLINK("https://github.com/darknigthmare/multiverse-breach/blob/codex/immersive-ui-audit-2026-10-25/src/components/HubScreen.jsx","Réalisation actuelle"),"Réalisation actuelle")</x:f>
        <x:v>Réalisation actuelle</x:v>
      </x:c>
      <x:c r="R22" s="21" t="str">
        <x:v>Vérifier ce chemin par une victoire contrôlée puis raccorder le bilan à la progression, ou expliciter un résultat de simulation si aucun gain ne doit être attribué. Présenter ensuite le bilan dans la scène avec une sortie volontaire.</x:v>
      </x:c>
      <x:c r="S22" s="21" t="str">
        <x:v>Aucune observation de la nouvelle branche enregistrée.</x:v>
      </x:c>
      <x:c r="T22" s="21" t="str">
        <x:v>Non réalisé</x:v>
      </x:c>
    </x:row>
    <x:row r="23" ht="77" customHeight="1">
      <x:c r="A23" s="24" t="n">
        <x:v>17</x:v>
      </x:c>
      <x:c r="B23" s="22" t="str">
        <x:v>Course A.R.C.A. : garage et préparation</x:v>
      </x:c>
      <x:c r="C23" s="22" t="str">
        <x:v>P1</x:v>
      </x:c>
      <x:c r="D23" s="22" t="str">
        <x:f>IF(E23=0,"À traiter",IF(COUNTIFS(Actions!$A$7:$A$45,"HUB-06",Actions!$D$7:$D$45,"À préciser")&gt;0,"À préciser",IF(COUNTIFS(Actions!$A$7:$A$45,"HUB-06",Actions!$D$7:$D$45,"Partiel")+COUNTIFS(Actions!$A$7:$A$45,"HUB-06",Actions!$D$7:$D$45,"À traiter")&gt;0,"Partiel",IF(COUNTIFS(Actions!$A$7:$A$45,"HUB-06",Actions!$D$7:$D$45,"Implémenté")&gt;0,"Implémenté","Conservé"))))</x:f>
        <x:v>Implémenté</x:v>
      </x:c>
      <x:c r="E23" s="30" t="n">
        <x:f>COUNTIFS(Actions!$A$7:$A$45,"HUB-06")</x:f>
        <x:v>1</x:v>
      </x:c>
      <x:c r="F23" s="22" t="str">
        <x:f>IF(E23=0,"Non réalisés",IF(COUNTIFS(Actions!$A$7:$A$45,"HUB-06",Actions!$E$7:$E$45,"Échec")&gt;0,"Échec",IF(COUNTIFS(Actions!$A$7:$A$45,"HUB-06",Actions!$E$7:$E$45,"Bloqués")+COUNTIFS(Actions!$A$7:$A$45,"HUB-06",Actions!$E$7:$E$45,"Partiels")&gt;0,"Partiels",IF(COUNTIFS(Actions!$A$7:$A$45,"HUB-06",Actions!$E$7:$E$45,"Réussis")=E23,"Réussis",IF(COUNTIFS(Actions!$A$7:$A$45,"HUB-06",Actions!$E$7:$E$45,"Réussis")&gt;0,"Partiels",IF(COUNTIFS(Actions!$A$7:$A$45,"HUB-06",Actions!$E$7:$E$45,"Déclarés")&gt;0,"Déclarés","Non réalisés"))))))</x:f>
        <x:v>Réussis</x:v>
      </x:c>
      <x:c r="G23" s="22" t="str">
        <x:f>IF(T23&lt;&gt;"Non réalisé",T23,IF(E23=0,"Non réalisé",IF(COUNTIFS(Actions!$A$7:$A$45,"HUB-06",Actions!$F$7:$F$45,"Échec")&gt;0,"Échec",IF(COUNTIFS(Actions!$A$7:$A$45,"HUB-06",Actions!$F$7:$F$45,"Observé sur branche")=E23,"Observé sur branche",IF(COUNTIFS(Actions!$A$7:$A$45,"HUB-06",Actions!$F$7:$F$45,"Observé sur branche")+COUNTIFS(Actions!$A$7:$A$45,"HUB-06",Actions!$F$7:$F$45,"Partiel")&gt;0,"Partiel","Non réalisé")))))</x:f>
        <x:v>Partiel</x:v>
      </x:c>
      <x:c r="H23" s="22" t="str">
        <x:v>La préparation propose actuellement Mirelle Suture comme pilote, avec choix du châssis, du circuit et de l’aide d’autoaccélération. Ces décisions sont présentées comme un panneau de configuration plutôt qu’une grille de départ.</x:v>
      </x:c>
      <x:c r="I23" s="22" t="str">
        <x:v>HUB-06 — Préparation conserve Mirelle, tous les châssis/circuits disponibles et l’accélération assistée. Garage, carrière, commandes et informations de circuit regroupés dans un terminal accessible avant et pendant la course.
Suite Course : stabilité du moteur/récompenses, pointeurs maintenus, reprise après erreur, télémétrie portrait visible.</x:v>
      </x:c>
      <x:c r="J23" s="22" t="str">
        <x:v>Préserver tous les déblocages, choix de véhicule, aides et paramètres. Les achats et améliorations existants doivent rester accessibles dans le garage, sans être supprimés pour simplifier la présentation.</x:v>
      </x:c>
      <x:c r="K23" s="22" t="str">
        <x:v>Lancement et retour doivent conserver le pilote, le châssis, le circuit et les aides. Le joueur doit comprendre ce qui est disponible, équipé ou verrouillé sans devoir essayer chaque sélection.</x:v>
      </x:c>
      <x:c r="L23" s="22" t="str">
        <x:v>Observation partielle sur fixture Chromium, sans visite complète de la preview ni certification des médias. Le ratio/cadrage du moteur est conservé. Les essais manette, multitouch physique, cloud et tous circuits restent ouverts.</x:v>
      </x:c>
      <x:c r="M23" s="22" t="str">
        <x:v>src/components/RaceMode.jsx
src/components/HubScreen.jsx
src/components/HubImmersion.css
src/components/ImmersiveDrawer.jsx
scripts/fixedStepClock.test.mjs</x:v>
      </x:c>
      <x:c r="N23" s="22" t="str">
        <x:v>HUB-06</x:v>
      </x:c>
      <x:c r="O23" s="22" t="str">
        <x:v>src/components/RaceMode.jsx:419–507
src/components/RaceMode.jsx:571–655</x:v>
      </x:c>
      <x:c r="P23" s="26" t="str">
        <x:f>IFERROR(HYPERLINK("https://github.com/darknigthmare/multiverse-breach/blob/5f44cf344d1a9fbb0dbd7c899510b7dd16cf25d6/src/components/RaceMode.jsx#L419-L507","Source de l’audit"),"Source de l’audit")</x:f>
        <x:v>Source de l’audit</x:v>
      </x:c>
      <x:c r="Q23" s="26" t="str">
        <x:f>IFERROR(HYPERLINK("https://github.com/darknigthmare/multiverse-breach/blob/codex/immersive-ui-audit-2026-10-25/src/components/RaceMode.jsx","Réalisation actuelle"),"Réalisation actuelle")</x:f>
        <x:v>Réalisation actuelle</x:v>
      </x:c>
      <x:c r="R23" s="22" t="str">
        <x:v>Utiliser un garage ou une grille plein écran avec le kart sélectionné, Mirelle et un aperçu du circuit. Ranger les réglages complémentaires dans leurs rubriques et garder un résumé de course avant lancement.</x:v>
      </x:c>
      <x:c r="S23" s="22" t="str">
        <x:v>26/10 : parcours Chromium isolés sur Course ; contrôle du garage, conduite, résultat et erreurs. Vrais composants, sans médias locaux ni compte réel.</x:v>
      </x:c>
      <x:c r="T23" s="22" t="str">
        <x:v>Partiel</x:v>
      </x:c>
    </x:row>
    <x:row r="24" ht="168" customHeight="1">
      <x:c r="A24" s="25" t="n">
        <x:v>18</x:v>
      </x:c>
      <x:c r="B24" s="21" t="str">
        <x:v>Course A.R.C.A. : course active</x:v>
      </x:c>
      <x:c r="C24" s="21" t="str">
        <x:v>P1</x:v>
      </x:c>
      <x:c r="D24" s="21" t="str">
        <x:f>IF(E24=0,"À traiter",IF(COUNTIFS(Actions!$A$7:$A$45,"HUB-06",Actions!$D$7:$D$45,"À préciser")+COUNTIFS(Actions!$A$7:$A$45,"HUB-12",Actions!$D$7:$D$45,"À préciser")&gt;0,"À préciser",IF(COUNTIFS(Actions!$A$7:$A$45,"HUB-06",Actions!$D$7:$D$45,"Partiel")+COUNTIFS(Actions!$A$7:$A$45,"HUB-12",Actions!$D$7:$D$45,"Partiel")+COUNTIFS(Actions!$A$7:$A$45,"HUB-06",Actions!$D$7:$D$45,"À traiter")+COUNTIFS(Actions!$A$7:$A$45,"HUB-12",Actions!$D$7:$D$45,"À traiter")&gt;0,"Partiel",IF(COUNTIFS(Actions!$A$7:$A$45,"HUB-06",Actions!$D$7:$D$45,"Implémenté")+COUNTIFS(Actions!$A$7:$A$45,"HUB-12",Actions!$D$7:$D$45,"Implémenté")&gt;0,"Implémenté","Conservé"))))</x:f>
        <x:v>Implémenté</x:v>
      </x:c>
      <x:c r="E24" s="31" t="n">
        <x:f>COUNTIFS(Actions!$A$7:$A$45,"HUB-06")+COUNTIFS(Actions!$A$7:$A$45,"HUB-12")</x:f>
        <x:v>2</x:v>
      </x:c>
      <x:c r="F24" s="21" t="str">
        <x:f>IF(E24=0,"Non réalisés",IF(COUNTIFS(Actions!$A$7:$A$45,"HUB-06",Actions!$E$7:$E$45,"Échec")+COUNTIFS(Actions!$A$7:$A$45,"HUB-12",Actions!$E$7:$E$45,"Échec")&gt;0,"Échec",IF(COUNTIFS(Actions!$A$7:$A$45,"HUB-06",Actions!$E$7:$E$45,"Bloqués")+COUNTIFS(Actions!$A$7:$A$45,"HUB-12",Actions!$E$7:$E$45,"Bloqués")+COUNTIFS(Actions!$A$7:$A$45,"HUB-06",Actions!$E$7:$E$45,"Partiels")+COUNTIFS(Actions!$A$7:$A$45,"HUB-12",Actions!$E$7:$E$45,"Partiels")&gt;0,"Partiels",IF(COUNTIFS(Actions!$A$7:$A$45,"HUB-06",Actions!$E$7:$E$45,"Réussis")+COUNTIFS(Actions!$A$7:$A$45,"HUB-12",Actions!$E$7:$E$45,"Réussis")=E24,"Réussis",IF(COUNTIFS(Actions!$A$7:$A$45,"HUB-06",Actions!$E$7:$E$45,"Réussis")+COUNTIFS(Actions!$A$7:$A$45,"HUB-12",Actions!$E$7:$E$45,"Réussis")&gt;0,"Partiels",IF(COUNTIFS(Actions!$A$7:$A$45,"HUB-06",Actions!$E$7:$E$45,"Déclarés")+COUNTIFS(Actions!$A$7:$A$45,"HUB-12",Actions!$E$7:$E$45,"Déclarés")&gt;0,"Déclarés","Non réalisés"))))))</x:f>
        <x:v>Réussis</x:v>
      </x:c>
      <x:c r="G24" s="21" t="str">
        <x:f>IF(T24&lt;&gt;"Non réalisé",T24,IF(E24=0,"Non réalisé",IF(COUNTIFS(Actions!$A$7:$A$45,"HUB-06",Actions!$F$7:$F$45,"Échec")+COUNTIFS(Actions!$A$7:$A$45,"HUB-12",Actions!$F$7:$F$45,"Échec")&gt;0,"Échec",IF(COUNTIFS(Actions!$A$7:$A$45,"HUB-06",Actions!$F$7:$F$45,"Observé sur branche")+COUNTIFS(Actions!$A$7:$A$45,"HUB-12",Actions!$F$7:$F$45,"Observé sur branche")=E24,"Observé sur branche",IF(COUNTIFS(Actions!$A$7:$A$45,"HUB-06",Actions!$F$7:$F$45,"Observé sur branche")+COUNTIFS(Actions!$A$7:$A$45,"HUB-12",Actions!$F$7:$F$45,"Observé sur branche")+COUNTIFS(Actions!$A$7:$A$45,"HUB-06",Actions!$F$7:$F$45,"Partiel")+COUNTIFS(Actions!$A$7:$A$45,"HUB-12",Actions!$F$7:$F$45,"Partiel")&gt;0,"Partiel","Non réalisé")))))</x:f>
        <x:v>Partiel</x:v>
      </x:c>
      <x:c r="H24" s="21" t="str">
        <x:v>La course utilise un canvas avec panneau latéral contenant statistiques, carrière, objectif, objet, garage, circuit et aide. Un texte de développement est encore placé dans l’en-tête de la vue active.</x:v>
      </x:c>
      <x:c r="I24" s="21" t="str">
        <x:v>HUB-06 — Préparation conserve Mirelle, tous les châssis/circuits disponibles et l’accélération assistée. Garage, carrière, commandes et informations de circuit regroupés dans un terminal accessible avant et pendant la course.
HUB-12 — Revue de code après premier commit : les jauges et les dix commandes Extinction partagent désormais un quai à hauteur naturelle. Même principe pour la cache Course et ses commandes ; leur retour à la ligne ne provoque plus de chevauchement lié à des offsets fixes.
Suite Course : stabilité du moteur/récompenses, pointeurs maintenus, reprise après erreur, télémétrie portrait visible.</x:v>
      </x:c>
      <x:c r="J24" s="21" t="str">
        <x:v>Conserver objet actif, aides, statistiques, carrière et garage. Réécrire les messages de développement en indications utiles au joueur, tout en laissant les détails techniques accessibles dans les outils.</x:v>
      </x:c>
      <x:c r="K24" s="21" t="str">
        <x:v>Les virages et concurrents doivent rester visibles derrière le HUD. Aucun achat ne doit détourner une commande de conduite, et l’ouverture d’une pause ne doit ni avancer la course ni réinitialiser le véhicule.</x:v>
      </x:c>
      <x:c r="L24" s="21" t="str">
        <x:v>Observation partielle sur fixture Chromium, sans visite complète de la preview ni certification des médias. Le ratio/cadrage du moteur est conservé. Les essais manette, multitouch physique, cloud et tous circuits restent ouverts.</x:v>
      </x:c>
      <x:c r="M24" s="21" t="str">
        <x:v>src/components/RaceMode.jsx
src/components/HubScreen.jsx
src/components/HubImmersion.css
src/components/ImmersiveDrawer.jsx
scripts/fixedStepClock.test.mjs
src/components/useSceneViewport.js
src/game/immersiveHubState.js
scripts/immersiveHubState.test.mjs
scripts/nonCombatTrial.test.mjs</x:v>
      </x:c>
      <x:c r="N24" s="21" t="str">
        <x:v>HUB-06, HUB-12</x:v>
      </x:c>
      <x:c r="O24" s="21" t="str">
        <x:v>src/components/RaceMode.jsx:513–529
src/components/RaceMode.jsx:571–655
src/index.css:969–1031</x:v>
      </x:c>
      <x:c r="P24" s="27" t="str">
        <x:f>IFERROR(HYPERLINK("https://github.com/darknigthmare/multiverse-breach/blob/5f44cf344d1a9fbb0dbd7c899510b7dd16cf25d6/src/components/RaceMode.jsx#L513-L529","Source de l’audit"),"Source de l’audit")</x:f>
        <x:v>Source de l’audit</x:v>
      </x:c>
      <x:c r="Q24" s="27" t="str">
        <x:f>IFERROR(HYPERLINK("https://github.com/darknigthmare/multiverse-breach/blob/codex/immersive-ui-audit-2026-10-25/src/components/RaceMode.jsx","Réalisation actuelle"),"Réalisation actuelle")</x:f>
        <x:v>Réalisation actuelle</x:v>
      </x:c>
      <x:c r="R24" s="21" t="str">
        <x:v>Donner toute la surface à la piste, avec classement, tour, temps, vitesse et objet dans un HUD compact. Déplacer carrière, achats, améliorations et descriptions vers la préparation ou la pause ; garder les commandes tactiles adaptées.</x:v>
      </x:c>
      <x:c r="S24" s="21" t="str">
        <x:v>26/10 : parcours Chromium isolés sur Course ; contrôle du garage, conduite, résultat et erreurs. Vrais composants, sans médias locaux ni compte réel.</x:v>
      </x:c>
      <x:c r="T24" s="21" t="str">
        <x:v>Partiel</x:v>
      </x:c>
    </x:row>
    <x:row r="25" ht="168" customHeight="1">
      <x:c r="A25" s="24" t="n">
        <x:v>19</x:v>
      </x:c>
      <x:c r="B25" s="22" t="str">
        <x:v>Course A.R.C.A. : résultat</x:v>
      </x:c>
      <x:c r="C25" s="22" t="str">
        <x:v>P1</x:v>
      </x:c>
      <x:c r="D25" s="22" t="str">
        <x:f>IF(E25=0,"À traiter",IF(COUNTIFS(Actions!$A$7:$A$45,"HUB-06",Actions!$D$7:$D$45,"À préciser")+COUNTIFS(Actions!$A$7:$A$45,"HUB-12",Actions!$D$7:$D$45,"À préciser")&gt;0,"À préciser",IF(COUNTIFS(Actions!$A$7:$A$45,"HUB-06",Actions!$D$7:$D$45,"Partiel")+COUNTIFS(Actions!$A$7:$A$45,"HUB-12",Actions!$D$7:$D$45,"Partiel")+COUNTIFS(Actions!$A$7:$A$45,"HUB-06",Actions!$D$7:$D$45,"À traiter")+COUNTIFS(Actions!$A$7:$A$45,"HUB-12",Actions!$D$7:$D$45,"À traiter")&gt;0,"Partiel",IF(COUNTIFS(Actions!$A$7:$A$45,"HUB-06",Actions!$D$7:$D$45,"Implémenté")+COUNTIFS(Actions!$A$7:$A$45,"HUB-12",Actions!$D$7:$D$45,"Implémenté")&gt;0,"Implémenté","Conservé"))))</x:f>
        <x:v>Implémenté</x:v>
      </x:c>
      <x:c r="E25" s="30" t="n">
        <x:f>COUNTIFS(Actions!$A$7:$A$45,"HUB-06")+COUNTIFS(Actions!$A$7:$A$45,"HUB-12")</x:f>
        <x:v>2</x:v>
      </x:c>
      <x:c r="F25" s="22" t="str">
        <x:f>IF(E25=0,"Non réalisés",IF(COUNTIFS(Actions!$A$7:$A$45,"HUB-06",Actions!$E$7:$E$45,"Échec")+COUNTIFS(Actions!$A$7:$A$45,"HUB-12",Actions!$E$7:$E$45,"Échec")&gt;0,"Échec",IF(COUNTIFS(Actions!$A$7:$A$45,"HUB-06",Actions!$E$7:$E$45,"Bloqués")+COUNTIFS(Actions!$A$7:$A$45,"HUB-12",Actions!$E$7:$E$45,"Bloqués")+COUNTIFS(Actions!$A$7:$A$45,"HUB-06",Actions!$E$7:$E$45,"Partiels")+COUNTIFS(Actions!$A$7:$A$45,"HUB-12",Actions!$E$7:$E$45,"Partiels")&gt;0,"Partiels",IF(COUNTIFS(Actions!$A$7:$A$45,"HUB-06",Actions!$E$7:$E$45,"Réussis")+COUNTIFS(Actions!$A$7:$A$45,"HUB-12",Actions!$E$7:$E$45,"Réussis")=E25,"Réussis",IF(COUNTIFS(Actions!$A$7:$A$45,"HUB-06",Actions!$E$7:$E$45,"Réussis")+COUNTIFS(Actions!$A$7:$A$45,"HUB-12",Actions!$E$7:$E$45,"Réussis")&gt;0,"Partiels",IF(COUNTIFS(Actions!$A$7:$A$45,"HUB-06",Actions!$E$7:$E$45,"Déclarés")+COUNTIFS(Actions!$A$7:$A$45,"HUB-12",Actions!$E$7:$E$45,"Déclarés")&gt;0,"Déclarés","Non réalisés"))))))</x:f>
        <x:v>Réussis</x:v>
      </x:c>
      <x:c r="G25" s="22" t="str">
        <x:f>IF(T25&lt;&gt;"Non réalisé",T25,IF(E25=0,"Non réalisé",IF(COUNTIFS(Actions!$A$7:$A$45,"HUB-06",Actions!$F$7:$F$45,"Échec")+COUNTIFS(Actions!$A$7:$A$45,"HUB-12",Actions!$F$7:$F$45,"Échec")&gt;0,"Échec",IF(COUNTIFS(Actions!$A$7:$A$45,"HUB-06",Actions!$F$7:$F$45,"Observé sur branche")+COUNTIFS(Actions!$A$7:$A$45,"HUB-12",Actions!$F$7:$F$45,"Observé sur branche")=E25,"Observé sur branche",IF(COUNTIFS(Actions!$A$7:$A$45,"HUB-06",Actions!$F$7:$F$45,"Observé sur branche")+COUNTIFS(Actions!$A$7:$A$45,"HUB-12",Actions!$F$7:$F$45,"Observé sur branche")+COUNTIFS(Actions!$A$7:$A$45,"HUB-06",Actions!$F$7:$F$45,"Partiel")+COUNTIFS(Actions!$A$7:$A$45,"HUB-12",Actions!$F$7:$F$45,"Partiel")&gt;0,"Partiel","Non réalisé")))))</x:f>
        <x:v>Partiel</x:v>
      </x:c>
      <x:c r="H25" s="22" t="str">
        <x:v>La course affiche déjà un bandeau de fin avec rang, temps, objectif et récompenses. Ce résultat reste intégré à la composition actuelle du canvas et de son environnement de panneaux.</x:v>
      </x:c>
      <x:c r="I25" s="22" t="str">
        <x:v>HUB-06 — Préparation conserve Mirelle, tous les châssis/circuits disponibles et l’accélération assistée. Garage, carrière, commandes et informations de circuit regroupés dans un terminal accessible avant et pendant la course.
HUB-12 — Revue de code après premier commit : les jauges et les dix commandes Extinction partagent désormais un quai à hauteur naturelle. Même principe pour la cache Course et ses commandes ; leur retour à la ligne ne provoque plus de chevauchement lié à des offsets fixes.
Suite Course : stabilité du moteur/récompenses, pointeurs maintenus, reprise après erreur, télémétrie portrait visible.</x:v>
      </x:c>
      <x:c r="J25" s="22" t="str">
        <x:v>Conserver toutes les statistiques et récompenses de carrière existantes ainsi que la progression enregistrée. Le résultat ne doit pas devenir une seconde occasion d’appliquer les mêmes gains.</x:v>
      </x:c>
      <x:c r="K25" s="22" t="str">
        <x:v>Les valeurs annoncées doivent correspondre à la carrière après fermeture. Rejouer doit conserver la configuration voulue, changer de circuit doit retrouver le garage, et quitter doit rendre le contrôle au bon menu.</x:v>
      </x:c>
      <x:c r="L25" s="22" t="str">
        <x:v>Observation partielle sur fixture Chromium, sans visite complète de la preview ni certification des médias. Le ratio/cadrage du moteur est conservé. Les essais manette, multitouch physique, cloud et tous circuits restent ouverts.</x:v>
      </x:c>
      <x:c r="M25" s="22" t="str">
        <x:v>src/components/RaceMode.jsx
src/components/HubScreen.jsx
src/components/HubImmersion.css
src/components/ImmersiveDrawer.jsx
scripts/fixedStepClock.test.mjs
src/components/useSceneViewport.js
src/game/immersiveHubState.js
scripts/immersiveHubState.test.mjs
scripts/nonCombatTrial.test.mjs</x:v>
      </x:c>
      <x:c r="N25" s="22" t="str">
        <x:v>HUB-06, HUB-12</x:v>
      </x:c>
      <x:c r="O25" s="22" t="str">
        <x:v>src/components/RaceMode.jsx:550–567
src/components/RaceMode.jsx:571–655</x:v>
      </x:c>
      <x:c r="P25" s="26" t="str">
        <x:f>IFERROR(HYPERLINK("https://github.com/darknigthmare/multiverse-breach/blob/5f44cf344d1a9fbb0dbd7c899510b7dd16cf25d6/src/components/RaceMode.jsx#L550-L567","Source de l’audit"),"Source de l’audit")</x:f>
        <x:v>Source de l’audit</x:v>
      </x:c>
      <x:c r="Q25" s="26" t="str">
        <x:f>IFERROR(HYPERLINK("https://github.com/darknigthmare/multiverse-breach/blob/codex/immersive-ui-audit-2026-10-25/src/components/RaceMode.jsx","Réalisation actuelle"),"Réalisation actuelle")</x:f>
        <x:v>Réalisation actuelle</x:v>
      </x:c>
      <x:c r="R25" s="22" t="str">
        <x:v>Présenter un podium ou un bilan sur la scène, avec place, temps et gains immédiatement lisibles, puis un détail de carrière ouvrable. Mettre Rejouer, Changer de circuit et Quitter dans une zone d’action stable.</x:v>
      </x:c>
      <x:c r="S25" s="22" t="str">
        <x:v>26/10 : parcours Chromium isolés sur Course ; contrôle du garage, conduite, résultat et erreurs. Vrais composants, sans médias locaux ni compte réel.</x:v>
      </x:c>
      <x:c r="T25" s="22" t="str">
        <x:v>Partiel</x:v>
      </x:c>
    </x:row>
    <x:row r="26" ht="51" customHeight="1">
      <x:c r="A26" s="25" t="n">
        <x:v>20</x:v>
      </x:c>
      <x:c r="B26" s="21" t="str">
        <x:v>Combat custom : configuration</x:v>
      </x:c>
      <x:c r="C26" s="21" t="str">
        <x:v>P1</x:v>
      </x:c>
      <x:c r="D26" s="21" t="str">
        <x:f>IF(E26=0,"À traiter",IF(COUNTIFS(Actions!$A$7:$A$45,"HUB-07",Actions!$D$7:$D$45,"À préciser")&gt;0,"À préciser",IF(COUNTIFS(Actions!$A$7:$A$45,"HUB-07",Actions!$D$7:$D$45,"Partiel")+COUNTIFS(Actions!$A$7:$A$45,"HUB-07",Actions!$D$7:$D$45,"À traiter")&gt;0,"Partiel",IF(COUNTIFS(Actions!$A$7:$A$45,"HUB-07",Actions!$D$7:$D$45,"Implémenté")&gt;0,"Implémenté","Conservé"))))</x:f>
        <x:v>Implémenté</x:v>
      </x:c>
      <x:c r="E26" s="31" t="n">
        <x:f>COUNTIFS(Actions!$A$7:$A$45,"HUB-07")</x:f>
        <x:v>1</x:v>
      </x:c>
      <x:c r="F26" s="21" t="str">
        <x:f>IF(E26=0,"Non réalisés",IF(COUNTIFS(Actions!$A$7:$A$45,"HUB-07",Actions!$E$7:$E$45,"Échec")&gt;0,"Échec",IF(COUNTIFS(Actions!$A$7:$A$45,"HUB-07",Actions!$E$7:$E$45,"Bloqués")+COUNTIFS(Actions!$A$7:$A$45,"HUB-07",Actions!$E$7:$E$45,"Partiels")&gt;0,"Partiels",IF(COUNTIFS(Actions!$A$7:$A$45,"HUB-07",Actions!$E$7:$E$45,"Réussis")=E26,"Réussis",IF(COUNTIFS(Actions!$A$7:$A$45,"HUB-07",Actions!$E$7:$E$45,"Réussis")&gt;0,"Partiels",IF(COUNTIFS(Actions!$A$7:$A$45,"HUB-07",Actions!$E$7:$E$45,"Déclarés")&gt;0,"Déclarés","Non réalisés"))))))</x:f>
        <x:v>Réussis</x:v>
      </x:c>
      <x:c r="G26" s="21" t="str">
        <x:f>IF(T26&lt;&gt;"Non réalisé",T26,IF(E26=0,"Non réalisé",IF(COUNTIFS(Actions!$A$7:$A$45,"HUB-07",Actions!$F$7:$F$45,"Échec")&gt;0,"Échec",IF(COUNTIFS(Actions!$A$7:$A$45,"HUB-07",Actions!$F$7:$F$45,"Observé sur branche")=E26,"Observé sur branche",IF(COUNTIFS(Actions!$A$7:$A$45,"HUB-07",Actions!$F$7:$F$45,"Observé sur branche")+COUNTIFS(Actions!$A$7:$A$45,"HUB-07",Actions!$F$7:$F$45,"Partiel")&gt;0,"Partiel","Non réalisé")))))</x:f>
        <x:v>Non réalisé</x:v>
      </x:c>
      <x:c r="H26" s="21" t="str">
        <x:v>La configuration custom regroupe quatre modes, contrôle adverse, équipes, adversaires, arène, difficulté, musiques, supers, objets, dangers et règles de mêlée. Le contenu est riche mais forme un long ensemble de réglages.</x:v>
      </x:c>
      <x:c r="I26" s="21" t="str">
        <x:v>HUB-07 — Lobby de préparation en quatre étapes librement revisitées : Mode, Équipes, Arène, Règles. Résumé persistant et lancement à la fin de la préparation.</x:v>
      </x:c>
      <x:c r="J26" s="21" t="str">
        <x:v>Préserver toutes les options, recherches, presets et sélections. Réécrire les libellés de développement pour expliquer les effets en jeu, sans retirer les paramètres nécessaires aux simulations détaillées.</x:v>
      </x:c>
      <x:c r="K26" s="21" t="str">
        <x:v>Un aller-retour depuis le combat doit restituer le preset complet. Le résumé doit refléter exactement les règles appliquées, et chaque option masquée doit avoir une destination claire dans le lobby.</x:v>
      </x:c>
      <x:c r="L26" s="21" t="str">
        <x:v>Les menaces restent choisies dans le catalogue existant avec recherche et règles existantes ; aucune menace ni arène n’est débloquée par cette refonte.
Parcours des quatre étapes dans les quatre moteurs à vérifier visuellement.</x:v>
      </x:c>
      <x:c r="M26" s="21" t="str">
        <x:v>src/components/CustomBattleMode.jsx
src/components/HubImmersion.css</x:v>
      </x:c>
      <x:c r="N26" s="21" t="str">
        <x:v>HUB-07</x:v>
      </x:c>
      <x:c r="O26" s="21" t="str">
        <x:v>src/components/CustomBattleMode.jsx:443–677
src/components/CustomBattleMode.jsx:377–438</x:v>
      </x:c>
      <x:c r="P26" s="27" t="str">
        <x:f>IFERROR(HYPERLINK("https://github.com/darknigthmare/multiverse-breach/blob/5f44cf344d1a9fbb0dbd7c899510b7dd16cf25d6/src/components/CustomBattleMode.jsx#L443-L677","Source de l’audit"),"Source de l’audit")</x:f>
        <x:v>Source de l’audit</x:v>
      </x:c>
      <x:c r="Q26" s="27" t="str">
        <x:f>IFERROR(HYPERLINK("https://github.com/darknigthmare/multiverse-breach/blob/codex/immersive-ui-audit-2026-10-25/src/components/CustomBattleMode.jsx","Réalisation actuelle"),"Réalisation actuelle")</x:f>
        <x:v>Réalisation actuelle</x:v>
      </x:c>
      <x:c r="R26" s="21" t="str">
        <x:v>Construire un lobby en étapes Mode, Équipes, Arène et Règles, avec portraits et scène sélectionnée en grand. Garder un résumé permanent et un bouton de lancement stable ; les réglages avancés restent consultables.</x:v>
      </x:c>
      <x:c r="S26" s="21" t="str">
        <x:v>Aucune observation de la nouvelle branche enregistrée.</x:v>
      </x:c>
      <x:c r="T26" s="21" t="str">
        <x:v>Non réalisé</x:v>
      </x:c>
    </x:row>
    <x:row r="27" ht="376" customHeight="1">
      <x:c r="A27" s="24" t="n">
        <x:v>21</x:v>
      </x:c>
      <x:c r="B27" s="22" t="str">
        <x:v>Combat RPG</x:v>
      </x:c>
      <x:c r="C27" s="22" t="str">
        <x:v>P1</x:v>
      </x:c>
      <x:c r="D27" s="22" t="str">
        <x:f>IF(E27=0,"À traiter",IF(COUNTIFS(Actions!$A$7:$A$45,"COMBAT-01",Actions!$D$7:$D$45,"À préciser")+COUNTIFS(Actions!$A$7:$A$45,"COMBAT-02",Actions!$D$7:$D$45,"À préciser")+COUNTIFS(Actions!$A$7:$A$45,"COMBAT-08",Actions!$D$7:$D$45,"À préciser")+COUNTIFS(Actions!$A$7:$A$45,"APP-04",Actions!$D$7:$D$45,"À préciser")&gt;0,"À préciser",IF(COUNTIFS(Actions!$A$7:$A$45,"COMBAT-01",Actions!$D$7:$D$45,"Partiel")+COUNTIFS(Actions!$A$7:$A$45,"COMBAT-02",Actions!$D$7:$D$45,"Partiel")+COUNTIFS(Actions!$A$7:$A$45,"COMBAT-08",Actions!$D$7:$D$45,"Partiel")+COUNTIFS(Actions!$A$7:$A$45,"APP-04",Actions!$D$7:$D$45,"Partiel")+COUNTIFS(Actions!$A$7:$A$45,"COMBAT-01",Actions!$D$7:$D$45,"À traiter")+COUNTIFS(Actions!$A$7:$A$45,"COMBAT-02",Actions!$D$7:$D$45,"À traiter")+COUNTIFS(Actions!$A$7:$A$45,"COMBAT-08",Actions!$D$7:$D$45,"À traiter")+COUNTIFS(Actions!$A$7:$A$45,"APP-04",Actions!$D$7:$D$45,"À traiter")&gt;0,"Partiel",IF(COUNTIFS(Actions!$A$7:$A$45,"COMBAT-01",Actions!$D$7:$D$45,"Implémenté")+COUNTIFS(Actions!$A$7:$A$45,"COMBAT-02",Actions!$D$7:$D$45,"Implémenté")+COUNTIFS(Actions!$A$7:$A$45,"COMBAT-08",Actions!$D$7:$D$45,"Implémenté")+COUNTIFS(Actions!$A$7:$A$45,"APP-04",Actions!$D$7:$D$45,"Implémenté")&gt;0,"Implémenté","Conservé"))))</x:f>
        <x:v>Implémenté</x:v>
      </x:c>
      <x:c r="E27" s="30" t="n">
        <x:f>COUNTIFS(Actions!$A$7:$A$45,"COMBAT-01")+COUNTIFS(Actions!$A$7:$A$45,"COMBAT-02")+COUNTIFS(Actions!$A$7:$A$45,"COMBAT-08")+COUNTIFS(Actions!$A$7:$A$45,"APP-04")</x:f>
        <x:v>4</x:v>
      </x:c>
      <x:c r="F27" s="22" t="str">
        <x:f>IF(E27=0,"Non réalisés",IF(COUNTIFS(Actions!$A$7:$A$45,"COMBAT-01",Actions!$E$7:$E$45,"Échec")+COUNTIFS(Actions!$A$7:$A$45,"COMBAT-02",Actions!$E$7:$E$45,"Échec")+COUNTIFS(Actions!$A$7:$A$45,"COMBAT-08",Actions!$E$7:$E$45,"Échec")+COUNTIFS(Actions!$A$7:$A$45,"APP-04",Actions!$E$7:$E$45,"Échec")&gt;0,"Échec",IF(COUNTIFS(Actions!$A$7:$A$45,"COMBAT-01",Actions!$E$7:$E$45,"Bloqués")+COUNTIFS(Actions!$A$7:$A$45,"COMBAT-02",Actions!$E$7:$E$45,"Bloqués")+COUNTIFS(Actions!$A$7:$A$45,"COMBAT-08",Actions!$E$7:$E$45,"Bloqués")+COUNTIFS(Actions!$A$7:$A$45,"APP-04",Actions!$E$7:$E$45,"Bloqués")+COUNTIFS(Actions!$A$7:$A$45,"COMBAT-01",Actions!$E$7:$E$45,"Partiels")+COUNTIFS(Actions!$A$7:$A$45,"COMBAT-02",Actions!$E$7:$E$45,"Partiels")+COUNTIFS(Actions!$A$7:$A$45,"COMBAT-08",Actions!$E$7:$E$45,"Partiels")+COUNTIFS(Actions!$A$7:$A$45,"APP-04",Actions!$E$7:$E$45,"Partiels")&gt;0,"Partiels",IF(COUNTIFS(Actions!$A$7:$A$45,"COMBAT-01",Actions!$E$7:$E$45,"Réussis")+COUNTIFS(Actions!$A$7:$A$45,"COMBAT-02",Actions!$E$7:$E$45,"Réussis")+COUNTIFS(Actions!$A$7:$A$45,"COMBAT-08",Actions!$E$7:$E$45,"Réussis")+COUNTIFS(Actions!$A$7:$A$45,"APP-04",Actions!$E$7:$E$45,"Réussis")=E27,"Réussis",IF(COUNTIFS(Actions!$A$7:$A$45,"COMBAT-01",Actions!$E$7:$E$45,"Réussis")+COUNTIFS(Actions!$A$7:$A$45,"COMBAT-02",Actions!$E$7:$E$45,"Réussis")+COUNTIFS(Actions!$A$7:$A$45,"COMBAT-08",Actions!$E$7:$E$45,"Réussis")+COUNTIFS(Actions!$A$7:$A$45,"APP-04",Actions!$E$7:$E$45,"Réussis")&gt;0,"Partiels",IF(COUNTIFS(Actions!$A$7:$A$45,"COMBAT-01",Actions!$E$7:$E$45,"Déclarés")+COUNTIFS(Actions!$A$7:$A$45,"COMBAT-02",Actions!$E$7:$E$45,"Déclarés")+COUNTIFS(Actions!$A$7:$A$45,"COMBAT-08",Actions!$E$7:$E$45,"Déclarés")+COUNTIFS(Actions!$A$7:$A$45,"APP-04",Actions!$E$7:$E$45,"Déclarés")&gt;0,"Déclarés","Non réalisés"))))))</x:f>
        <x:v>Partiels</x:v>
      </x:c>
      <x:c r="G27" s="22" t="str">
        <x:f>IF(T27&lt;&gt;"Non réalisé",T27,IF(E27=0,"Non réalisé",IF(COUNTIFS(Actions!$A$7:$A$45,"COMBAT-01",Actions!$F$7:$F$45,"Échec")+COUNTIFS(Actions!$A$7:$A$45,"COMBAT-02",Actions!$F$7:$F$45,"Échec")+COUNTIFS(Actions!$A$7:$A$45,"COMBAT-08",Actions!$F$7:$F$45,"Échec")+COUNTIFS(Actions!$A$7:$A$45,"APP-04",Actions!$F$7:$F$45,"Échec")&gt;0,"Échec",IF(COUNTIFS(Actions!$A$7:$A$45,"COMBAT-01",Actions!$F$7:$F$45,"Observé sur branche")+COUNTIFS(Actions!$A$7:$A$45,"COMBAT-02",Actions!$F$7:$F$45,"Observé sur branche")+COUNTIFS(Actions!$A$7:$A$45,"COMBAT-08",Actions!$F$7:$F$45,"Observé sur branche")+COUNTIFS(Actions!$A$7:$A$45,"APP-04",Actions!$F$7:$F$45,"Observé sur branche")=E27,"Observé sur branche",IF(COUNTIFS(Actions!$A$7:$A$45,"COMBAT-01",Actions!$F$7:$F$45,"Observé sur branche")+COUNTIFS(Actions!$A$7:$A$45,"COMBAT-02",Actions!$F$7:$F$45,"Observé sur branche")+COUNTIFS(Actions!$A$7:$A$45,"COMBAT-08",Actions!$F$7:$F$45,"Observé sur branche")+COUNTIFS(Actions!$A$7:$A$45,"APP-04",Actions!$F$7:$F$45,"Observé sur branche")+COUNTIFS(Actions!$A$7:$A$45,"COMBAT-01",Actions!$F$7:$F$45,"Partiel")+COUNTIFS(Actions!$A$7:$A$45,"COMBAT-02",Actions!$F$7:$F$45,"Partiel")+COUNTIFS(Actions!$A$7:$A$45,"COMBAT-08",Actions!$F$7:$F$45,"Partiel")+COUNTIFS(Actions!$A$7:$A$45,"APP-04",Actions!$F$7:$F$45,"Partiel")&gt;0,"Partiel","Non réalisé")))))</x:f>
        <x:v>Partiel</x:v>
      </x:c>
      <x:c r="H27" s="22" t="str">
        <x:v>Le RPG partage une colonne centrée comprenant en-tête, barres, canvas et tableau d’actions. Le ciblage, l’attente ATB, les reliques et les panneaux propres aux rencontres existent déjà sous la scène.</x:v>
      </x:c>
      <x:c r="I27" s="22" t="str">
        <x:v>COMBAT-01 — RPG, Tactics, mêlée et épreuves hors combat utilisent une scène fixe couvrant le viewport. Le cadre centré et le tableau de commandes sous le canevas sont remplacés par une scène et des couches contextuelles.
COMBAT-02 — PV et ATB restent dans une bande d’escouade compacte ; les actions principales sont contextuelles en bord de terrain.
COMBAT-08 — Les recettes navigateur ouvrent le vrai bouton Arsenal avant les invocations, signatures de mêlée, reliques et soutiens tactiques. Elles referment le tiroir avant les actions du HUD et le rouvrent après une pause externe.
APP-04 — Pause commune aux missions de campagne, avec reprise, options, commandes et confirmation du repli.</x:v>
      </x:c>
      <x:c r="J27" s="22" t="str">
        <x:v>Conserver ciblage, confirmation, annulation, mode d’attente, automatique, vitesse, reliques et mécanismes spécifiques aux boss. Les règles d’action ne doivent pas changer pendant cette refonte de présentation.</x:v>
      </x:c>
      <x:c r="K27" s="22" t="str">
        <x:v>Le joueur doit sélectionner une action et sa cible sans défilement. Les coordonnées doivent rester correctes après redimensionnement, et le mode d’attente doit garder exactement son comportement durant la sélection.</x:v>
      </x:c>
      <x:c r="L27" s="22" t="str">
        <x:v>Aucune capture locale de la branche revendiquée. Contrôle visuel et tactile à effectuer sur la preview.
La géométrie logique de jeu reste inchangée : les ratios très larges ou hauts reçoivent un fond de décor, sans étirer ni couper le combat.
L’Arsenal est explicitement indiqué en direct et ne suspend pas le combat. Briefing, commandes et affichage suspendent la simulation.
Aucune installation ni exécution locale du navigateur. Les recettes corrigées et la nouvelle vérification de libellé attendent la prochaine CI distante.
Le portrait conserve toute l’arène horizontale et la réduit donc à l’écran. Le paysage est préférable pour les combats d’action ; caméra et géométrie du jeu restent inchangées.
Les états initiaux sont synthétiques, avec les vrais composants et moteurs ; ils ne certifient ni un appareil physique ni un compte réel.
Recette interactive du clavier/manette sur la preview à compléter.</x:v>
      </x:c>
      <x:c r="M27" s="22" t="str">
        <x:v>src/components/GameCanvas.jsx
src/components/combat-immersion.css
src/game/combatViewport.js
scripts/combatViewport.test.mjs
src/components/CombatDrawer.jsx
scripts/browserCombatUi.py
scripts/browserSignatureCombat.py
scripts/browserSignatureSources.py
scripts/browserSignatureSupport.py
scripts/browserSignatureFlight.py
scripts/browserSignatureSpirits.py
scripts/browserRpgLifecycle.py
scripts/browserTacticsReliability.py
scripts/browserTacticsHealing.py
scripts/browserAuditFollowup.py
scripts/fixtures/combatHarness.css
scripts/fixtures/signatureCombatHarness.jsx
scripts/fixtures/signatureSourceHarness.jsx
scripts/fixtures/signatureSupportHarness.jsx
scripts/fixtures/rpgLifecycleHarness.jsx
scripts/fixtures/tacticsLifecycleHarness.jsx
scripts/fixtures/tacticsAttackHarness.jsx
scripts/fixtures/tacticsHealingHarness.jsx
scripts/fixtures/fighterLifecycleHarness.jsx
scripts/fixtures/fighterMeleeHarness.jsx
scripts/fixtures/fighterRangedHarness.jsx
src/App.jsx
src/components/CampaignPauseMenu.jsx</x:v>
      </x:c>
      <x:c r="N27" s="22" t="str">
        <x:v>COMBAT-01, COMBAT-02, COMBAT-08, APP-04</x:v>
      </x:c>
      <x:c r="O27" s="22" t="str">
        <x:v>src/components/GameCanvas.jsx:2032–2152
src/components/GameCanvas.jsx:2287–2372
src/components/GameCanvas.jsx:2594–2606
src/components/GameCanvas.jsx:2828–2849</x:v>
      </x:c>
      <x:c r="P27" s="26" t="str">
        <x:f>IFERROR(HYPERLINK("https://github.com/darknigthmare/multiverse-breach/blob/5f44cf344d1a9fbb0dbd7c899510b7dd16cf25d6/src/components/GameCanvas.jsx#L2032-L2152","Source de l’audit"),"Source de l’audit")</x:f>
        <x:v>Source de l’audit</x:v>
      </x:c>
      <x:c r="Q27" s="26" t="str">
        <x:f>IFERROR(HYPERLINK("https://github.com/darknigthmare/multiverse-breach/blob/codex/immersive-ui-audit-2026-10-25/src/components/GameCanvas.jsx","Réalisation actuelle"),"Réalisation actuelle")</x:f>
        <x:v>Réalisation actuelle</x:v>
      </x:c>
      <x:c r="R27" s="22" t="str">
        <x:v>Passer à un champ de bataille plein viewport avec portraits, santé et ATB ancrés sur les bords, commandes contextuelles et cible clairement indiquée. Ouvrir inventaire et renseignements sans déplacer la scène hors de l’écran.</x:v>
      </x:c>
      <x:c r="S27" s="22" t="str">
        <x:v>CI avec données synthétiques : consulter Vérifications et continuation-2026-10-26.json. Pas d’approbation visuelle complète.</x:v>
      </x:c>
      <x:c r="T27" s="22" t="str">
        <x:v>Partiel</x:v>
      </x:c>
    </x:row>
    <x:row r="28" ht="363" customHeight="1">
      <x:c r="A28" s="25" t="n">
        <x:v>22</x:v>
      </x:c>
      <x:c r="B28" s="21" t="str">
        <x:v>Combat tactique</x:v>
      </x:c>
      <x:c r="C28" s="21" t="str">
        <x:v>P1</x:v>
      </x:c>
      <x:c r="D28" s="21" t="str">
        <x:f>IF(E28=0,"À traiter",IF(COUNTIFS(Actions!$A$7:$A$45,"COMBAT-01",Actions!$D$7:$D$45,"À préciser")+COUNTIFS(Actions!$A$7:$A$45,"COMBAT-03",Actions!$D$7:$D$45,"À préciser")+COUNTIFS(Actions!$A$7:$A$45,"COMBAT-08",Actions!$D$7:$D$45,"À préciser")+COUNTIFS(Actions!$A$7:$A$45,"APP-04",Actions!$D$7:$D$45,"À préciser")&gt;0,"À préciser",IF(COUNTIFS(Actions!$A$7:$A$45,"COMBAT-01",Actions!$D$7:$D$45,"Partiel")+COUNTIFS(Actions!$A$7:$A$45,"COMBAT-03",Actions!$D$7:$D$45,"Partiel")+COUNTIFS(Actions!$A$7:$A$45,"COMBAT-08",Actions!$D$7:$D$45,"Partiel")+COUNTIFS(Actions!$A$7:$A$45,"APP-04",Actions!$D$7:$D$45,"Partiel")+COUNTIFS(Actions!$A$7:$A$45,"COMBAT-01",Actions!$D$7:$D$45,"À traiter")+COUNTIFS(Actions!$A$7:$A$45,"COMBAT-03",Actions!$D$7:$D$45,"À traiter")+COUNTIFS(Actions!$A$7:$A$45,"COMBAT-08",Actions!$D$7:$D$45,"À traiter")+COUNTIFS(Actions!$A$7:$A$45,"APP-04",Actions!$D$7:$D$45,"À traiter")&gt;0,"Partiel",IF(COUNTIFS(Actions!$A$7:$A$45,"COMBAT-01",Actions!$D$7:$D$45,"Implémenté")+COUNTIFS(Actions!$A$7:$A$45,"COMBAT-03",Actions!$D$7:$D$45,"Implémenté")+COUNTIFS(Actions!$A$7:$A$45,"COMBAT-08",Actions!$D$7:$D$45,"Implémenté")+COUNTIFS(Actions!$A$7:$A$45,"APP-04",Actions!$D$7:$D$45,"Implémenté")&gt;0,"Implémenté","Conservé"))))</x:f>
        <x:v>Implémenté</x:v>
      </x:c>
      <x:c r="E28" s="31" t="n">
        <x:f>COUNTIFS(Actions!$A$7:$A$45,"COMBAT-01")+COUNTIFS(Actions!$A$7:$A$45,"COMBAT-03")+COUNTIFS(Actions!$A$7:$A$45,"COMBAT-08")+COUNTIFS(Actions!$A$7:$A$45,"APP-04")</x:f>
        <x:v>4</x:v>
      </x:c>
      <x:c r="F28" s="21" t="str">
        <x:f>IF(E28=0,"Non réalisés",IF(COUNTIFS(Actions!$A$7:$A$45,"COMBAT-01",Actions!$E$7:$E$45,"Échec")+COUNTIFS(Actions!$A$7:$A$45,"COMBAT-03",Actions!$E$7:$E$45,"Échec")+COUNTIFS(Actions!$A$7:$A$45,"COMBAT-08",Actions!$E$7:$E$45,"Échec")+COUNTIFS(Actions!$A$7:$A$45,"APP-04",Actions!$E$7:$E$45,"Échec")&gt;0,"Échec",IF(COUNTIFS(Actions!$A$7:$A$45,"COMBAT-01",Actions!$E$7:$E$45,"Bloqués")+COUNTIFS(Actions!$A$7:$A$45,"COMBAT-03",Actions!$E$7:$E$45,"Bloqués")+COUNTIFS(Actions!$A$7:$A$45,"COMBAT-08",Actions!$E$7:$E$45,"Bloqués")+COUNTIFS(Actions!$A$7:$A$45,"APP-04",Actions!$E$7:$E$45,"Bloqués")+COUNTIFS(Actions!$A$7:$A$45,"COMBAT-01",Actions!$E$7:$E$45,"Partiels")+COUNTIFS(Actions!$A$7:$A$45,"COMBAT-03",Actions!$E$7:$E$45,"Partiels")+COUNTIFS(Actions!$A$7:$A$45,"COMBAT-08",Actions!$E$7:$E$45,"Partiels")+COUNTIFS(Actions!$A$7:$A$45,"APP-04",Actions!$E$7:$E$45,"Partiels")&gt;0,"Partiels",IF(COUNTIFS(Actions!$A$7:$A$45,"COMBAT-01",Actions!$E$7:$E$45,"Réussis")+COUNTIFS(Actions!$A$7:$A$45,"COMBAT-03",Actions!$E$7:$E$45,"Réussis")+COUNTIFS(Actions!$A$7:$A$45,"COMBAT-08",Actions!$E$7:$E$45,"Réussis")+COUNTIFS(Actions!$A$7:$A$45,"APP-04",Actions!$E$7:$E$45,"Réussis")=E28,"Réussis",IF(COUNTIFS(Actions!$A$7:$A$45,"COMBAT-01",Actions!$E$7:$E$45,"Réussis")+COUNTIFS(Actions!$A$7:$A$45,"COMBAT-03",Actions!$E$7:$E$45,"Réussis")+COUNTIFS(Actions!$A$7:$A$45,"COMBAT-08",Actions!$E$7:$E$45,"Réussis")+COUNTIFS(Actions!$A$7:$A$45,"APP-04",Actions!$E$7:$E$45,"Réussis")&gt;0,"Partiels",IF(COUNTIFS(Actions!$A$7:$A$45,"COMBAT-01",Actions!$E$7:$E$45,"Déclarés")+COUNTIFS(Actions!$A$7:$A$45,"COMBAT-03",Actions!$E$7:$E$45,"Déclarés")+COUNTIFS(Actions!$A$7:$A$45,"COMBAT-08",Actions!$E$7:$E$45,"Déclarés")+COUNTIFS(Actions!$A$7:$A$45,"APP-04",Actions!$E$7:$E$45,"Déclarés")&gt;0,"Déclarés","Non réalisés"))))))</x:f>
        <x:v>Partiels</x:v>
      </x:c>
      <x:c r="G28" s="21" t="str">
        <x:f>IF(T28&lt;&gt;"Non réalisé",T28,IF(E28=0,"Non réalisé",IF(COUNTIFS(Actions!$A$7:$A$45,"COMBAT-01",Actions!$F$7:$F$45,"Échec")+COUNTIFS(Actions!$A$7:$A$45,"COMBAT-03",Actions!$F$7:$F$45,"Échec")+COUNTIFS(Actions!$A$7:$A$45,"COMBAT-08",Actions!$F$7:$F$45,"Échec")+COUNTIFS(Actions!$A$7:$A$45,"APP-04",Actions!$F$7:$F$45,"Échec")&gt;0,"Échec",IF(COUNTIFS(Actions!$A$7:$A$45,"COMBAT-01",Actions!$F$7:$F$45,"Observé sur branche")+COUNTIFS(Actions!$A$7:$A$45,"COMBAT-03",Actions!$F$7:$F$45,"Observé sur branche")+COUNTIFS(Actions!$A$7:$A$45,"COMBAT-08",Actions!$F$7:$F$45,"Observé sur branche")+COUNTIFS(Actions!$A$7:$A$45,"APP-04",Actions!$F$7:$F$45,"Observé sur branche")=E28,"Observé sur branche",IF(COUNTIFS(Actions!$A$7:$A$45,"COMBAT-01",Actions!$F$7:$F$45,"Observé sur branche")+COUNTIFS(Actions!$A$7:$A$45,"COMBAT-03",Actions!$F$7:$F$45,"Observé sur branche")+COUNTIFS(Actions!$A$7:$A$45,"COMBAT-08",Actions!$F$7:$F$45,"Observé sur branche")+COUNTIFS(Actions!$A$7:$A$45,"APP-04",Actions!$F$7:$F$45,"Observé sur branche")+COUNTIFS(Actions!$A$7:$A$45,"COMBAT-01",Actions!$F$7:$F$45,"Partiel")+COUNTIFS(Actions!$A$7:$A$45,"COMBAT-03",Actions!$F$7:$F$45,"Partiel")+COUNTIFS(Actions!$A$7:$A$45,"COMBAT-08",Actions!$F$7:$F$45,"Partiel")+COUNTIFS(Actions!$A$7:$A$45,"APP-04",Actions!$F$7:$F$45,"Partiel")&gt;0,"Partiel","Non réalisé")))))</x:f>
        <x:v>Partiel</x:v>
      </x:c>
      <x:c r="H28" s="21" t="str">
        <x:v>Le terrain tactique partage le cadre du GameCanvas et son panneau inférieur. Déplacement de caméra, zoom, annulation de visée, fin de tour, soutien et informations d’escorte sont déjà présents.</x:v>
      </x:c>
      <x:c r="I28" s="21" t="str">
        <x:v>COMBAT-01 — RPG, Tactics, mêlée et épreuves hors combat utilisent une scène fixe couvrant le viewport. Le cadre centré et le tableau de commandes sous le canevas sont remplacés par une scène et des couches contextuelles.
COMBAT-03 — Commandes tactiques, annulation de ciblage et Fin du tour protégée restent accessibles sans défilement de page.
COMBAT-08 — Les recettes navigateur ouvrent le vrai bouton Arsenal avant les invocations, signatures de mêlée, reliques et soutiens tactiques. Elles referment le tiroir avant les actions du HUD et le rouvrent après une pause externe.
APP-04 — Pause commune aux missions de campagne, avec reprise, options, commandes et confirmation du repli.</x:v>
      </x:c>
      <x:c r="J28" s="21" t="str">
        <x:v>Préserver déplacement, zoom, ciblage, annulation, fin de tour, soutien, artefacts et mécanismes de mission. Ne pas réclamer leur création comme s’ils manquaient encore.</x:v>
      </x:c>
      <x:c r="K28" s="21" t="str">
        <x:v>Toutes les cases utiles doivent rester sélectionnables sans défilement de page. Panoramique et sélection doivent rester distincts, une annulation doit conserver les points d’action non dépensés et le HUD ne doit pas masquer la cible.</x:v>
      </x:c>
      <x:c r="L28" s="21" t="str">
        <x:v>Aucune capture locale de la branche revendiquée. Contrôle visuel et tactile à effectuer sur la preview.
La géométrie logique de jeu reste inchangée : les ratios très larges ou hauts reçoivent un fond de décor, sans étirer ni couper le combat.
Aucune règle tactique, durée, réserve de mouvement, aptitude source, portée ni valeur de dégâts modifiée.
Aucune installation ni exécution locale du navigateur. Les recettes corrigées et la nouvelle vérification de libellé attendent la prochaine CI distante.
Le portrait conserve toute l’arène horizontale et la réduit donc à l’écran. Le paysage est préférable pour les combats d’action ; caméra et géométrie du jeu restent inchangées.
Les états initiaux sont synthétiques, avec les vrais composants et moteurs ; ils ne certifient ni un appareil physique ni un compte réel.
Recette interactive du clavier/manette sur la preview à compléter.</x:v>
      </x:c>
      <x:c r="M28" s="21" t="str">
        <x:v>src/components/GameCanvas.jsx
src/components/combat-immersion.css
src/game/combatViewport.js
scripts/combatViewport.test.mjs
scripts/browserCombatUi.py
scripts/browserSignatureCombat.py
scripts/browserSignatureSources.py
scripts/browserSignatureSupport.py
scripts/browserSignatureFlight.py
scripts/browserSignatureSpirits.py
scripts/browserRpgLifecycle.py
scripts/browserTacticsReliability.py
scripts/browserTacticsHealing.py
scripts/browserAuditFollowup.py
scripts/fixtures/combatHarness.css
scripts/fixtures/signatureCombatHarness.jsx
scripts/fixtures/signatureSourceHarness.jsx
scripts/fixtures/signatureSupportHarness.jsx
scripts/fixtures/rpgLifecycleHarness.jsx
scripts/fixtures/tacticsLifecycleHarness.jsx
scripts/fixtures/tacticsAttackHarness.jsx
scripts/fixtures/tacticsHealingHarness.jsx
scripts/fixtures/fighterLifecycleHarness.jsx
scripts/fixtures/fighterMeleeHarness.jsx
scripts/fixtures/fighterRangedHarness.jsx
src/App.jsx
src/components/CampaignPauseMenu.jsx</x:v>
      </x:c>
      <x:c r="N28" s="21" t="str">
        <x:v>COMBAT-01, COMBAT-03, COMBAT-08, APP-04</x:v>
      </x:c>
      <x:c r="O28" s="21" t="str">
        <x:v>src/components/GameCanvas.jsx:2083–2083
src/components/GameCanvas.jsx:2351–2370
src/components/GameCanvas.jsx:2840–2845
src/components/GameCanvas.jsx:2873–3001</x:v>
      </x:c>
      <x:c r="P28" s="27" t="str">
        <x:f>IFERROR(HYPERLINK("https://github.com/darknigthmare/multiverse-breach/blob/5f44cf344d1a9fbb0dbd7c899510b7dd16cf25d6/src/components/GameCanvas.jsx#L2083-L2083","Source de l’audit"),"Source de l’audit")</x:f>
        <x:v>Source de l’audit</x:v>
      </x:c>
      <x:c r="Q28" s="27" t="str">
        <x:f>IFERROR(HYPERLINK("https://github.com/darknigthmare/multiverse-breach/blob/codex/immersive-ui-audit-2026-10-25/src/components/GameCanvas.jsx","Réalisation actuelle"),"Réalisation actuelle")</x:f>
        <x:v>Réalisation actuelle</x:v>
      </x:c>
      <x:c r="R28" s="21" t="str">
        <x:v>Étendre le terrain au viewport, avec unité active et points d’action près des commandes, ordre des tours en bande compacte et objectif court. Montrer portées, trajectoires, couvertures et ressources dans le terrain ; garder le détail dans un inspecteur.</x:v>
      </x:c>
      <x:c r="S28" s="21" t="str">
        <x:v>CI avec données synthétiques : consulter Vérifications et continuation-2026-10-26.json. Pas d’approbation visuelle complète.</x:v>
      </x:c>
      <x:c r="T28" s="21" t="str">
        <x:v>Partiel</x:v>
      </x:c>
    </x:row>
    <x:row r="29" ht="376" customHeight="1">
      <x:c r="A29" s="24" t="n">
        <x:v>23</x:v>
      </x:c>
      <x:c r="B29" s="22" t="str">
        <x:v>Combat mêlée Smash</x:v>
      </x:c>
      <x:c r="C29" s="22" t="str">
        <x:v>P1</x:v>
      </x:c>
      <x:c r="D29" s="22" t="str">
        <x:f>IF(E29=0,"À traiter",IF(COUNTIFS(Actions!$A$7:$A$45,"COMBAT-01",Actions!$D$7:$D$45,"À préciser")+COUNTIFS(Actions!$A$7:$A$45,"COMBAT-04",Actions!$D$7:$D$45,"À préciser")+COUNTIFS(Actions!$A$7:$A$45,"COMBAT-08",Actions!$D$7:$D$45,"À préciser")+COUNTIFS(Actions!$A$7:$A$45,"APP-04",Actions!$D$7:$D$45,"À préciser")&gt;0,"À préciser",IF(COUNTIFS(Actions!$A$7:$A$45,"COMBAT-01",Actions!$D$7:$D$45,"Partiel")+COUNTIFS(Actions!$A$7:$A$45,"COMBAT-04",Actions!$D$7:$D$45,"Partiel")+COUNTIFS(Actions!$A$7:$A$45,"COMBAT-08",Actions!$D$7:$D$45,"Partiel")+COUNTIFS(Actions!$A$7:$A$45,"APP-04",Actions!$D$7:$D$45,"Partiel")+COUNTIFS(Actions!$A$7:$A$45,"COMBAT-01",Actions!$D$7:$D$45,"À traiter")+COUNTIFS(Actions!$A$7:$A$45,"COMBAT-04",Actions!$D$7:$D$45,"À traiter")+COUNTIFS(Actions!$A$7:$A$45,"COMBAT-08",Actions!$D$7:$D$45,"À traiter")+COUNTIFS(Actions!$A$7:$A$45,"APP-04",Actions!$D$7:$D$45,"À traiter")&gt;0,"Partiel",IF(COUNTIFS(Actions!$A$7:$A$45,"COMBAT-01",Actions!$D$7:$D$45,"Implémenté")+COUNTIFS(Actions!$A$7:$A$45,"COMBAT-04",Actions!$D$7:$D$45,"Implémenté")+COUNTIFS(Actions!$A$7:$A$45,"COMBAT-08",Actions!$D$7:$D$45,"Implémenté")+COUNTIFS(Actions!$A$7:$A$45,"APP-04",Actions!$D$7:$D$45,"Implémenté")&gt;0,"Implémenté","Conservé"))))</x:f>
        <x:v>Implémenté</x:v>
      </x:c>
      <x:c r="E29" s="30" t="n">
        <x:f>COUNTIFS(Actions!$A$7:$A$45,"COMBAT-01")+COUNTIFS(Actions!$A$7:$A$45,"COMBAT-04")+COUNTIFS(Actions!$A$7:$A$45,"COMBAT-08")+COUNTIFS(Actions!$A$7:$A$45,"APP-04")</x:f>
        <x:v>4</x:v>
      </x:c>
      <x:c r="F29" s="22" t="str">
        <x:f>IF(E29=0,"Non réalisés",IF(COUNTIFS(Actions!$A$7:$A$45,"COMBAT-01",Actions!$E$7:$E$45,"Échec")+COUNTIFS(Actions!$A$7:$A$45,"COMBAT-04",Actions!$E$7:$E$45,"Échec")+COUNTIFS(Actions!$A$7:$A$45,"COMBAT-08",Actions!$E$7:$E$45,"Échec")+COUNTIFS(Actions!$A$7:$A$45,"APP-04",Actions!$E$7:$E$45,"Échec")&gt;0,"Échec",IF(COUNTIFS(Actions!$A$7:$A$45,"COMBAT-01",Actions!$E$7:$E$45,"Bloqués")+COUNTIFS(Actions!$A$7:$A$45,"COMBAT-04",Actions!$E$7:$E$45,"Bloqués")+COUNTIFS(Actions!$A$7:$A$45,"COMBAT-08",Actions!$E$7:$E$45,"Bloqués")+COUNTIFS(Actions!$A$7:$A$45,"APP-04",Actions!$E$7:$E$45,"Bloqués")+COUNTIFS(Actions!$A$7:$A$45,"COMBAT-01",Actions!$E$7:$E$45,"Partiels")+COUNTIFS(Actions!$A$7:$A$45,"COMBAT-04",Actions!$E$7:$E$45,"Partiels")+COUNTIFS(Actions!$A$7:$A$45,"COMBAT-08",Actions!$E$7:$E$45,"Partiels")+COUNTIFS(Actions!$A$7:$A$45,"APP-04",Actions!$E$7:$E$45,"Partiels")&gt;0,"Partiels",IF(COUNTIFS(Actions!$A$7:$A$45,"COMBAT-01",Actions!$E$7:$E$45,"Réussis")+COUNTIFS(Actions!$A$7:$A$45,"COMBAT-04",Actions!$E$7:$E$45,"Réussis")+COUNTIFS(Actions!$A$7:$A$45,"COMBAT-08",Actions!$E$7:$E$45,"Réussis")+COUNTIFS(Actions!$A$7:$A$45,"APP-04",Actions!$E$7:$E$45,"Réussis")=E29,"Réussis",IF(COUNTIFS(Actions!$A$7:$A$45,"COMBAT-01",Actions!$E$7:$E$45,"Réussis")+COUNTIFS(Actions!$A$7:$A$45,"COMBAT-04",Actions!$E$7:$E$45,"Réussis")+COUNTIFS(Actions!$A$7:$A$45,"COMBAT-08",Actions!$E$7:$E$45,"Réussis")+COUNTIFS(Actions!$A$7:$A$45,"APP-04",Actions!$E$7:$E$45,"Réussis")&gt;0,"Partiels",IF(COUNTIFS(Actions!$A$7:$A$45,"COMBAT-01",Actions!$E$7:$E$45,"Déclarés")+COUNTIFS(Actions!$A$7:$A$45,"COMBAT-04",Actions!$E$7:$E$45,"Déclarés")+COUNTIFS(Actions!$A$7:$A$45,"COMBAT-08",Actions!$E$7:$E$45,"Déclarés")+COUNTIFS(Actions!$A$7:$A$45,"APP-04",Actions!$E$7:$E$45,"Déclarés")&gt;0,"Déclarés","Non réalisés"))))))</x:f>
        <x:v>Partiels</x:v>
      </x:c>
      <x:c r="G29" s="22" t="str">
        <x:f>IF(T29&lt;&gt;"Non réalisé",T29,IF(E29=0,"Non réalisé",IF(COUNTIFS(Actions!$A$7:$A$45,"COMBAT-01",Actions!$F$7:$F$45,"Échec")+COUNTIFS(Actions!$A$7:$A$45,"COMBAT-04",Actions!$F$7:$F$45,"Échec")+COUNTIFS(Actions!$A$7:$A$45,"COMBAT-08",Actions!$F$7:$F$45,"Échec")+COUNTIFS(Actions!$A$7:$A$45,"APP-04",Actions!$F$7:$F$45,"Échec")&gt;0,"Échec",IF(COUNTIFS(Actions!$A$7:$A$45,"COMBAT-01",Actions!$F$7:$F$45,"Observé sur branche")+COUNTIFS(Actions!$A$7:$A$45,"COMBAT-04",Actions!$F$7:$F$45,"Observé sur branche")+COUNTIFS(Actions!$A$7:$A$45,"COMBAT-08",Actions!$F$7:$F$45,"Observé sur branche")+COUNTIFS(Actions!$A$7:$A$45,"APP-04",Actions!$F$7:$F$45,"Observé sur branche")=E29,"Observé sur branche",IF(COUNTIFS(Actions!$A$7:$A$45,"COMBAT-01",Actions!$F$7:$F$45,"Observé sur branche")+COUNTIFS(Actions!$A$7:$A$45,"COMBAT-04",Actions!$F$7:$F$45,"Observé sur branche")+COUNTIFS(Actions!$A$7:$A$45,"COMBAT-08",Actions!$F$7:$F$45,"Observé sur branche")+COUNTIFS(Actions!$A$7:$A$45,"APP-04",Actions!$F$7:$F$45,"Observé sur branche")+COUNTIFS(Actions!$A$7:$A$45,"COMBAT-01",Actions!$F$7:$F$45,"Partiel")+COUNTIFS(Actions!$A$7:$A$45,"COMBAT-04",Actions!$F$7:$F$45,"Partiel")+COUNTIFS(Actions!$A$7:$A$45,"COMBAT-08",Actions!$F$7:$F$45,"Partiel")+COUNTIFS(Actions!$A$7:$A$45,"APP-04",Actions!$F$7:$F$45,"Partiel")&gt;0,"Partiel","Non réalisé")))))</x:f>
        <x:v>Partiel</x:v>
      </x:c>
      <x:c r="H29" s="22" t="str">
        <x:v>La mêlée utilise un canvas encadré et un panneau de contrôles externe. Remappage, manette et tactile existent déjà. L’annonce d’avant-match est rendue à la fois dans le DOM et au centre du canvas.</x:v>
      </x:c>
      <x:c r="I29" s="22" t="str">
        <x:v>COMBAT-01 — RPG, Tactics, mêlée et épreuves hors combat utilisent une scène fixe couvrant le viewport. Le cadre centré et le tableau de commandes sous le canevas sont remplacés par une scène et des couches contextuelles.
COMBAT-04 — MeleeControlsPanel sépare les jauges HUD, le tactile et les réglages, avec présentation complète antérieure conservée pour compatibilité.
COMBAT-08 — Les recettes navigateur ouvrent le vrai bouton Arsenal avant les invocations, signatures de mêlée, reliques et soutiens tactiques. Elles referment le tiroir avant les actions du HUD et le rouvrent après une pause externe.
APP-04 — Pause commune aux missions de campagne, avec reprise, options, commandes et confirmation du repli.</x:v>
      </x:c>
      <x:c r="J29" s="22" t="str">
        <x:v>Conserver toutes les entrées, supers, objets, assistances, annonces, topologies et variantes. La zone de combat et ses règles de caméra ne doivent pas être déformées pour remplir artificiellement un écran.</x:v>
      </x:c>
      <x:c r="K29" s="22" t="str">
        <x:v>Les entrées clavier, manette et tactile doivent rester équivalentes après déplacement des boutons. Une pause doit vider les commandes maintenues ; le HUD ne doit pas réduire la visibilité des bords de l’arène.</x:v>
      </x:c>
      <x:c r="L29" s="22" t="str">
        <x:v>Aucune capture locale de la branche revendiquée. Contrôle visuel et tactile à effectuer sur la preview.
La géométrie logique de jeu reste inchangée : les ratios très larges ou hauts reçoivent un fond de décor, sans étirer ni couper le combat.
Manette physique et multitouch restent à vérifier sur appareil. Le suivi ne prétend pas que ces contrôles ou la pause étaient absents de la version auditée.
Aucune installation ni exécution locale du navigateur. Les recettes corrigées et la nouvelle vérification de libellé attendent la prochaine CI distante.
Le portrait conserve toute l’arène horizontale et la réduit donc à l’écran. Le paysage est préférable pour les combats d’action ; caméra et géométrie du jeu restent inchangées.
Les états initiaux sont synthétiques, avec les vrais composants et moteurs ; ils ne certifient ni un appareil physique ni un compte réel.
Recette interactive du clavier/manette sur la preview à compléter.</x:v>
      </x:c>
      <x:c r="M29" s="22" t="str">
        <x:v>src/components/GameCanvas.jsx
src/components/combat-immersion.css
src/game/combatViewport.js
scripts/combatViewport.test.mjs
src/components/MeleeControlsPanel.jsx
scripts/browserCombatUi.py
scripts/browserSignatureCombat.py
scripts/browserSignatureSources.py
scripts/browserSignatureSupport.py
scripts/browserSignatureFlight.py
scripts/browserSignatureSpirits.py
scripts/browserRpgLifecycle.py
scripts/browserTacticsReliability.py
scripts/browserTacticsHealing.py
scripts/browserAuditFollowup.py
scripts/fixtures/combatHarness.css
scripts/fixtures/signatureCombatHarness.jsx
scripts/fixtures/signatureSourceHarness.jsx
scripts/fixtures/signatureSupportHarness.jsx
scripts/fixtures/rpgLifecycleHarness.jsx
scripts/fixtures/tacticsLifecycleHarness.jsx
scripts/fixtures/tacticsAttackHarness.jsx
scripts/fixtures/tacticsHealingHarness.jsx
scripts/fixtures/fighterLifecycleHarness.jsx
scripts/fixtures/fighterMeleeHarness.jsx
scripts/fixtures/fighterRangedHarness.jsx
src/App.jsx
src/components/CampaignPauseMenu.jsx</x:v>
      </x:c>
      <x:c r="N29" s="22" t="str">
        <x:v>COMBAT-01, COMBAT-04, COMBAT-08, APP-04</x:v>
      </x:c>
      <x:c r="O29" s="22" t="str">
        <x:v>src/components/GameCanvas.jsx:60–88
src/components/GameCanvas.jsx:246–289
src/components/GameCanvas.jsx:2324–2372
src/components/GameCanvas.jsx:2700–2715
src/components/GameCanvas.jsx:2983–2994
src/components/GameCanvas.jsx:2323–2331
src/game/engineSmash.js:2636–2655</x:v>
      </x:c>
      <x:c r="P29" s="26" t="str">
        <x:f>IFERROR(HYPERLINK("https://github.com/darknigthmare/multiverse-breach/blob/5f44cf344d1a9fbb0dbd7c899510b7dd16cf25d6/src/components/GameCanvas.jsx#L60-L88","Source de l’audit"),"Source de l’audit")</x:f>
        <x:v>Source de l’audit</x:v>
      </x:c>
      <x:c r="Q29" s="26" t="str">
        <x:f>IFERROR(HYPERLINK("https://github.com/darknigthmare/multiverse-breach/blob/codex/immersive-ui-audit-2026-10-25/src/components/GameCanvas.jsx","Réalisation actuelle"),"Réalisation actuelle")</x:f>
        <x:v>Réalisation actuelle</x:v>
      </x:c>
      <x:c r="R29" s="22" t="str">
        <x:v>Faire de l’arène le fond de jeu, avec informations des combattants, objectif et charges en HUD. Unifier l’annonce transitoire ; ranger aide et remappage dans Commandes et superposer les touches tactiles utiles.</x:v>
      </x:c>
      <x:c r="S29" s="22" t="str">
        <x:v>CI avec données synthétiques : consulter Vérifications et continuation-2026-10-26.json. Pas d’approbation visuelle complète.</x:v>
      </x:c>
      <x:c r="T29" s="22" t="str">
        <x:v>Partiel</x:v>
      </x:c>
    </x:row>
    <x:row r="30" ht="324" customHeight="1">
      <x:c r="A30" s="25" t="n">
        <x:v>24</x:v>
      </x:c>
      <x:c r="B30" s="21" t="str">
        <x:v>Combat A.R.C.A. Fighter : sélection, duel et résultat</x:v>
      </x:c>
      <x:c r="C30" s="21" t="str">
        <x:v>P1</x:v>
      </x:c>
      <x:c r="D30" s="21" t="str">
        <x:f>IF(E30=0,"À traiter",IF(COUNTIFS(Actions!$A$7:$A$45,"COMBAT-05",Actions!$D$7:$D$45,"À préciser")+COUNTIFS(Actions!$A$7:$A$45,"COMBAT-08",Actions!$D$7:$D$45,"À préciser")&gt;0,"À préciser",IF(COUNTIFS(Actions!$A$7:$A$45,"COMBAT-05",Actions!$D$7:$D$45,"Partiel")+COUNTIFS(Actions!$A$7:$A$45,"COMBAT-08",Actions!$D$7:$D$45,"Partiel")+COUNTIFS(Actions!$A$7:$A$45,"COMBAT-05",Actions!$D$7:$D$45,"À traiter")+COUNTIFS(Actions!$A$7:$A$45,"COMBAT-08",Actions!$D$7:$D$45,"À traiter")&gt;0,"Partiel",IF(COUNTIFS(Actions!$A$7:$A$45,"COMBAT-05",Actions!$D$7:$D$45,"Implémenté")+COUNTIFS(Actions!$A$7:$A$45,"COMBAT-08",Actions!$D$7:$D$45,"Implémenté")&gt;0,"Implémenté","Conservé"))))</x:f>
        <x:v>Implémenté</x:v>
      </x:c>
      <x:c r="E30" s="31" t="n">
        <x:f>COUNTIFS(Actions!$A$7:$A$45,"COMBAT-05")+COUNTIFS(Actions!$A$7:$A$45,"COMBAT-08")</x:f>
        <x:v>2</x:v>
      </x:c>
      <x:c r="F30" s="21" t="str">
        <x:f>IF(E30=0,"Non réalisés",IF(COUNTIFS(Actions!$A$7:$A$45,"COMBAT-05",Actions!$E$7:$E$45,"Échec")+COUNTIFS(Actions!$A$7:$A$45,"COMBAT-08",Actions!$E$7:$E$45,"Échec")&gt;0,"Échec",IF(COUNTIFS(Actions!$A$7:$A$45,"COMBAT-05",Actions!$E$7:$E$45,"Bloqués")+COUNTIFS(Actions!$A$7:$A$45,"COMBAT-08",Actions!$E$7:$E$45,"Bloqués")+COUNTIFS(Actions!$A$7:$A$45,"COMBAT-05",Actions!$E$7:$E$45,"Partiels")+COUNTIFS(Actions!$A$7:$A$45,"COMBAT-08",Actions!$E$7:$E$45,"Partiels")&gt;0,"Partiels",IF(COUNTIFS(Actions!$A$7:$A$45,"COMBAT-05",Actions!$E$7:$E$45,"Réussis")+COUNTIFS(Actions!$A$7:$A$45,"COMBAT-08",Actions!$E$7:$E$45,"Réussis")=E30,"Réussis",IF(COUNTIFS(Actions!$A$7:$A$45,"COMBAT-05",Actions!$E$7:$E$45,"Réussis")+COUNTIFS(Actions!$A$7:$A$45,"COMBAT-08",Actions!$E$7:$E$45,"Réussis")&gt;0,"Partiels",IF(COUNTIFS(Actions!$A$7:$A$45,"COMBAT-05",Actions!$E$7:$E$45,"Déclarés")+COUNTIFS(Actions!$A$7:$A$45,"COMBAT-08",Actions!$E$7:$E$45,"Déclarés")&gt;0,"Déclarés","Non réalisés"))))))</x:f>
        <x:v>Réussis</x:v>
      </x:c>
      <x:c r="G30" s="21" t="str">
        <x:f>IF(T30&lt;&gt;"Non réalisé",T30,IF(E30=0,"Non réalisé",IF(COUNTIFS(Actions!$A$7:$A$45,"COMBAT-05",Actions!$F$7:$F$45,"Échec")+COUNTIFS(Actions!$A$7:$A$45,"COMBAT-08",Actions!$F$7:$F$45,"Échec")&gt;0,"Échec",IF(COUNTIFS(Actions!$A$7:$A$45,"COMBAT-05",Actions!$F$7:$F$45,"Observé sur branche")+COUNTIFS(Actions!$A$7:$A$45,"COMBAT-08",Actions!$F$7:$F$45,"Observé sur branche")=E30,"Observé sur branche",IF(COUNTIFS(Actions!$A$7:$A$45,"COMBAT-05",Actions!$F$7:$F$45,"Observé sur branche")+COUNTIFS(Actions!$A$7:$A$45,"COMBAT-08",Actions!$F$7:$F$45,"Observé sur branche")+COUNTIFS(Actions!$A$7:$A$45,"COMBAT-05",Actions!$F$7:$F$45,"Partiel")+COUNTIFS(Actions!$A$7:$A$45,"COMBAT-08",Actions!$F$7:$F$45,"Partiel")&gt;0,"Partiel","Non réalisé")))))</x:f>
        <x:v>Partiel</x:v>
      </x:c>
      <x:c r="H30" s="21" t="str">
        <x:v>Fighter possède déjà son lobby, ses équipes, la difficulté ou le contrôle local adverse, puis une vue active avec canvas, panneau latéral et commandes. Remplaçants, supers, assistances et revanche sont disponibles.</x:v>
      </x:c>
      <x:c r="I30" s="21" t="str">
        <x:v>COMBAT-05 — Lobby versus et duel plein viewport ; état du moteur conservé malgré les rendus du parent, la pause et les options. Seule une revanche explicite reconstruit le duel avec les derniers réglages.
COMBAT-08 — Scénarios navigateur synthétiques de régression maintenus et étendus.</x:v>
      </x:c>
      <x:c r="J30" s="21" t="str">
        <x:v>Conserver composition, changements de combattant, contrôle J2, difficulté, supers, assistances, résultat, revanche et retour au lobby. Le moteur sait déjà suivre la pause sans reconstruction.</x:v>
      </x:c>
      <x:c r="K30" s="21" t="str">
        <x:v>Un duel doit rester entièrement contrôlable sans scroll. J1 et J2 doivent garder leurs commandes séparées, les remplacements autorisés doivent rester identifiables et une revanche ne doit pas perdre la configuration.</x:v>
      </x:c>
      <x:c r="L30" s="21" t="str">
        <x:v>Les tests synthétiques contrôlent état, commandes et cycle de session, pas les illustrations ni le confort sur appareil physique. Le portrait conserve le ratio complet de l’arène.</x:v>
      </x:c>
      <x:c r="M30" s="21" t="str">
        <x:v>src/components/FighterMode.jsx
src/components/CombatDrawer.jsx
src/components/combat-immersion.css
scripts/browserCombatUi.py
scripts/browserSignatureCombat.py
scripts/browserSignatureSources.py
scripts/browserSignatureSupport.py
scripts/browserSignatureFlight.py
scripts/browserSignatureSpirits.py
scripts/browserRpgLifecycle.py
scripts/browserTacticsReliability.py
scripts/browserTacticsHealing.py
scripts/browserAuditFollowup.py
scripts/fixtures/combatHarness.css
scripts/fixtures/signatureCombatHarness.jsx
scripts/fixtures/signatureSourceHarness.jsx
scripts/fixtures/signatureSupportHarness.jsx
scripts/fixtures/rpgLifecycleHarness.jsx
scripts/fixtures/tacticsLifecycleHarness.jsx
scripts/fixtures/tacticsAttackHarness.jsx
scripts/fixtures/tacticsHealingHarness.jsx
scripts/fixtures/fighterLifecycleHarness.jsx
scripts/fixtures/fighterMeleeHarness.jsx
scripts/fixtures/fighterRangedHarness.jsx</x:v>
      </x:c>
      <x:c r="N30" s="21" t="str">
        <x:v>COMBAT-05, COMBAT-08</x:v>
      </x:c>
      <x:c r="O30" s="21" t="str">
        <x:v>src/components/FighterMode.jsx:307–325
src/components/FighterMode.jsx:830–960
src/components/FighterMode.jsx:963–1087
src/components/FighterMode.jsx:1201–1278</x:v>
      </x:c>
      <x:c r="P30" s="27" t="str">
        <x:f>IFERROR(HYPERLINK("https://github.com/darknigthmare/multiverse-breach/blob/5f44cf344d1a9fbb0dbd7c899510b7dd16cf25d6/src/components/FighterMode.jsx#L307-L325","Source de l’audit"),"Source de l’audit")</x:f>
        <x:v>Source de l’audit</x:v>
      </x:c>
      <x:c r="Q30" s="27" t="str">
        <x:f>IFERROR(HYPERLINK("https://github.com/darknigthmare/multiverse-breach/blob/codex/immersive-ui-audit-2026-10-25/src/components/FighterMode.jsx","Réalisation actuelle"),"Réalisation actuelle")</x:f>
        <x:v>Réalisation actuelle</x:v>
      </x:c>
      <x:c r="R30" s="21" t="str">
        <x:v>Utiliser un lobby visuel, puis une arène plein viewport avec barres, temps, remplaçants et charges intégrés au HUD. Déplacer les listes de commandes dans l’aide ; faire du résultat une transition de fin de duel.</x:v>
      </x:c>
      <x:c r="S30" s="21" t="str">
        <x:v>CI avec données synthétiques : consulter Vérifications et continuation-2026-10-26.json. Pas d’approbation visuelle complète.</x:v>
      </x:c>
      <x:c r="T30" s="21" t="str">
        <x:v>Partiel</x:v>
      </x:c>
    </x:row>
    <x:row r="31" ht="363" customHeight="1">
      <x:c r="A31" s="24" t="n">
        <x:v>25</x:v>
      </x:c>
      <x:c r="B31" s="22" t="str">
        <x:v>Pause et retour des sessions</x:v>
      </x:c>
      <x:c r="C31" s="22" t="str">
        <x:v>P1</x:v>
      </x:c>
      <x:c r="D31" s="22" t="str">
        <x:f>IF(E31=0,"À traiter",IF(COUNTIFS(Actions!$A$7:$A$45,"HUB-08",Actions!$D$7:$D$45,"À préciser")+COUNTIFS(Actions!$A$7:$A$45,"HUB-11",Actions!$D$7:$D$45,"À préciser")+COUNTIFS(Actions!$A$7:$A$45,"HUB-12",Actions!$D$7:$D$45,"À préciser")+COUNTIFS(Actions!$A$7:$A$45,"COMBAT-06",Actions!$D$7:$D$45,"À préciser")+COUNTIFS(Actions!$A$7:$A$45,"APP-01",Actions!$D$7:$D$45,"À préciser")+COUNTIFS(Actions!$A$7:$A$45,"APP-02",Actions!$D$7:$D$45,"À préciser")+COUNTIFS(Actions!$A$7:$A$45,"APP-04",Actions!$D$7:$D$45,"À préciser")&gt;0,"À préciser",IF(COUNTIFS(Actions!$A$7:$A$45,"HUB-08",Actions!$D$7:$D$45,"Partiel")+COUNTIFS(Actions!$A$7:$A$45,"HUB-11",Actions!$D$7:$D$45,"Partiel")+COUNTIFS(Actions!$A$7:$A$45,"HUB-12",Actions!$D$7:$D$45,"Partiel")+COUNTIFS(Actions!$A$7:$A$45,"COMBAT-06",Actions!$D$7:$D$45,"Partiel")+COUNTIFS(Actions!$A$7:$A$45,"APP-01",Actions!$D$7:$D$45,"Partiel")+COUNTIFS(Actions!$A$7:$A$45,"APP-02",Actions!$D$7:$D$45,"Partiel")+COUNTIFS(Actions!$A$7:$A$45,"APP-04",Actions!$D$7:$D$45,"Partiel")+COUNTIFS(Actions!$A$7:$A$45,"HUB-08",Actions!$D$7:$D$45,"À traiter")+COUNTIFS(Actions!$A$7:$A$45,"HUB-11",Actions!$D$7:$D$45,"À traiter")+COUNTIFS(Actions!$A$7:$A$45,"HUB-12",Actions!$D$7:$D$45,"À traiter")+COUNTIFS(Actions!$A$7:$A$45,"COMBAT-06",Actions!$D$7:$D$45,"À traiter")+COUNTIFS(Actions!$A$7:$A$45,"APP-01",Actions!$D$7:$D$45,"À traiter")+COUNTIFS(Actions!$A$7:$A$45,"APP-02",Actions!$D$7:$D$45,"À traiter")+COUNTIFS(Actions!$A$7:$A$45,"APP-04",Actions!$D$7:$D$45,"À traiter")&gt;0,"Partiel",IF(COUNTIFS(Actions!$A$7:$A$45,"HUB-08",Actions!$D$7:$D$45,"Implémenté")+COUNTIFS(Actions!$A$7:$A$45,"HUB-11",Actions!$D$7:$D$45,"Implémenté")+COUNTIFS(Actions!$A$7:$A$45,"HUB-12",Actions!$D$7:$D$45,"Implémenté")+COUNTIFS(Actions!$A$7:$A$45,"COMBAT-06",Actions!$D$7:$D$45,"Implémenté")+COUNTIFS(Actions!$A$7:$A$45,"APP-01",Actions!$D$7:$D$45,"Implémenté")+COUNTIFS(Actions!$A$7:$A$45,"APP-02",Actions!$D$7:$D$45,"Implémenté")+COUNTIFS(Actions!$A$7:$A$45,"APP-04",Actions!$D$7:$D$45,"Implémenté")&gt;0,"Implémenté","Conservé"))))</x:f>
        <x:v>Implémenté</x:v>
      </x:c>
      <x:c r="E31" s="30" t="n">
        <x:f>COUNTIFS(Actions!$A$7:$A$45,"HUB-08")+COUNTIFS(Actions!$A$7:$A$45,"HUB-11")+COUNTIFS(Actions!$A$7:$A$45,"HUB-12")+COUNTIFS(Actions!$A$7:$A$45,"COMBAT-06")+COUNTIFS(Actions!$A$7:$A$45,"APP-01")+COUNTIFS(Actions!$A$7:$A$45,"APP-02")+COUNTIFS(Actions!$A$7:$A$45,"APP-04")</x:f>
        <x:v>7</x:v>
      </x:c>
      <x:c r="F31" s="22" t="str">
        <x:f>IF(E31=0,"Non réalisés",IF(COUNTIFS(Actions!$A$7:$A$45,"HUB-08",Actions!$E$7:$E$45,"Échec")+COUNTIFS(Actions!$A$7:$A$45,"HUB-11",Actions!$E$7:$E$45,"Échec")+COUNTIFS(Actions!$A$7:$A$45,"HUB-12",Actions!$E$7:$E$45,"Échec")+COUNTIFS(Actions!$A$7:$A$45,"COMBAT-06",Actions!$E$7:$E$45,"Échec")+COUNTIFS(Actions!$A$7:$A$45,"APP-01",Actions!$E$7:$E$45,"Échec")+COUNTIFS(Actions!$A$7:$A$45,"APP-02",Actions!$E$7:$E$45,"Échec")+COUNTIFS(Actions!$A$7:$A$45,"APP-04",Actions!$E$7:$E$45,"Échec")&gt;0,"Échec",IF(COUNTIFS(Actions!$A$7:$A$45,"HUB-08",Actions!$E$7:$E$45,"Bloqués")+COUNTIFS(Actions!$A$7:$A$45,"HUB-11",Actions!$E$7:$E$45,"Bloqués")+COUNTIFS(Actions!$A$7:$A$45,"HUB-12",Actions!$E$7:$E$45,"Bloqués")+COUNTIFS(Actions!$A$7:$A$45,"COMBAT-06",Actions!$E$7:$E$45,"Bloqués")+COUNTIFS(Actions!$A$7:$A$45,"APP-01",Actions!$E$7:$E$45,"Bloqués")+COUNTIFS(Actions!$A$7:$A$45,"APP-02",Actions!$E$7:$E$45,"Bloqués")+COUNTIFS(Actions!$A$7:$A$45,"APP-04",Actions!$E$7:$E$45,"Bloqués")+COUNTIFS(Actions!$A$7:$A$45,"HUB-08",Actions!$E$7:$E$45,"Partiels")+COUNTIFS(Actions!$A$7:$A$45,"HUB-11",Actions!$E$7:$E$45,"Partiels")+COUNTIFS(Actions!$A$7:$A$45,"HUB-12",Actions!$E$7:$E$45,"Partiels")+COUNTIFS(Actions!$A$7:$A$45,"COMBAT-06",Actions!$E$7:$E$45,"Partiels")+COUNTIFS(Actions!$A$7:$A$45,"APP-01",Actions!$E$7:$E$45,"Partiels")+COUNTIFS(Actions!$A$7:$A$45,"APP-02",Actions!$E$7:$E$45,"Partiels")+COUNTIFS(Actions!$A$7:$A$45,"APP-04",Actions!$E$7:$E$45,"Partiels")&gt;0,"Partiels",IF(COUNTIFS(Actions!$A$7:$A$45,"HUB-08",Actions!$E$7:$E$45,"Réussis")+COUNTIFS(Actions!$A$7:$A$45,"HUB-11",Actions!$E$7:$E$45,"Réussis")+COUNTIFS(Actions!$A$7:$A$45,"HUB-12",Actions!$E$7:$E$45,"Réussis")+COUNTIFS(Actions!$A$7:$A$45,"COMBAT-06",Actions!$E$7:$E$45,"Réussis")+COUNTIFS(Actions!$A$7:$A$45,"APP-01",Actions!$E$7:$E$45,"Réussis")+COUNTIFS(Actions!$A$7:$A$45,"APP-02",Actions!$E$7:$E$45,"Réussis")+COUNTIFS(Actions!$A$7:$A$45,"APP-04",Actions!$E$7:$E$45,"Réussis")=E31,"Réussis",IF(COUNTIFS(Actions!$A$7:$A$45,"HUB-08",Actions!$E$7:$E$45,"Réussis")+COUNTIFS(Actions!$A$7:$A$45,"HUB-11",Actions!$E$7:$E$45,"Réussis")+COUNTIFS(Actions!$A$7:$A$45,"HUB-12",Actions!$E$7:$E$45,"Réussis")+COUNTIFS(Actions!$A$7:$A$45,"COMBAT-06",Actions!$E$7:$E$45,"Réussis")+COUNTIFS(Actions!$A$7:$A$45,"APP-01",Actions!$E$7:$E$45,"Réussis")+COUNTIFS(Actions!$A$7:$A$45,"APP-02",Actions!$E$7:$E$45,"Réussis")+COUNTIFS(Actions!$A$7:$A$45,"APP-04",Actions!$E$7:$E$45,"Réussis")&gt;0,"Partiels",IF(COUNTIFS(Actions!$A$7:$A$45,"HUB-08",Actions!$E$7:$E$45,"Déclarés")+COUNTIFS(Actions!$A$7:$A$45,"HUB-11",Actions!$E$7:$E$45,"Déclarés")+COUNTIFS(Actions!$A$7:$A$45,"HUB-12",Actions!$E$7:$E$45,"Déclarés")+COUNTIFS(Actions!$A$7:$A$45,"COMBAT-06",Actions!$E$7:$E$45,"Déclarés")+COUNTIFS(Actions!$A$7:$A$45,"APP-01",Actions!$E$7:$E$45,"Déclarés")+COUNTIFS(Actions!$A$7:$A$45,"APP-02",Actions!$E$7:$E$45,"Déclarés")+COUNTIFS(Actions!$A$7:$A$45,"APP-04",Actions!$E$7:$E$45,"Déclarés")&gt;0,"Déclarés","Non réalisés"))))))</x:f>
        <x:v>Partiels</x:v>
      </x:c>
      <x:c r="G31" s="22" t="str">
        <x:f>IF(T31&lt;&gt;"Non réalisé",T31,IF(E31=0,"Non réalisé",IF(COUNTIFS(Actions!$A$7:$A$45,"HUB-08",Actions!$F$7:$F$45,"Échec")+COUNTIFS(Actions!$A$7:$A$45,"HUB-11",Actions!$F$7:$F$45,"Échec")+COUNTIFS(Actions!$A$7:$A$45,"HUB-12",Actions!$F$7:$F$45,"Échec")+COUNTIFS(Actions!$A$7:$A$45,"COMBAT-06",Actions!$F$7:$F$45,"Échec")+COUNTIFS(Actions!$A$7:$A$45,"APP-01",Actions!$F$7:$F$45,"Échec")+COUNTIFS(Actions!$A$7:$A$45,"APP-02",Actions!$F$7:$F$45,"Échec")+COUNTIFS(Actions!$A$7:$A$45,"APP-04",Actions!$F$7:$F$45,"Échec")&gt;0,"Échec",IF(COUNTIFS(Actions!$A$7:$A$45,"HUB-08",Actions!$F$7:$F$45,"Observé sur branche")+COUNTIFS(Actions!$A$7:$A$45,"HUB-11",Actions!$F$7:$F$45,"Observé sur branche")+COUNTIFS(Actions!$A$7:$A$45,"HUB-12",Actions!$F$7:$F$45,"Observé sur branche")+COUNTIFS(Actions!$A$7:$A$45,"COMBAT-06",Actions!$F$7:$F$45,"Observé sur branche")+COUNTIFS(Actions!$A$7:$A$45,"APP-01",Actions!$F$7:$F$45,"Observé sur branche")+COUNTIFS(Actions!$A$7:$A$45,"APP-02",Actions!$F$7:$F$45,"Observé sur branche")+COUNTIFS(Actions!$A$7:$A$45,"APP-04",Actions!$F$7:$F$45,"Observé sur branche")=E31,"Observé sur branche",IF(COUNTIFS(Actions!$A$7:$A$45,"HUB-08",Actions!$F$7:$F$45,"Observé sur branche")+COUNTIFS(Actions!$A$7:$A$45,"HUB-11",Actions!$F$7:$F$45,"Observé sur branche")+COUNTIFS(Actions!$A$7:$A$45,"HUB-12",Actions!$F$7:$F$45,"Observé sur branche")+COUNTIFS(Actions!$A$7:$A$45,"COMBAT-06",Actions!$F$7:$F$45,"Observé sur branche")+COUNTIFS(Actions!$A$7:$A$45,"APP-01",Actions!$F$7:$F$45,"Observé sur branche")+COUNTIFS(Actions!$A$7:$A$45,"APP-02",Actions!$F$7:$F$45,"Observé sur branche")+COUNTIFS(Actions!$A$7:$A$45,"APP-04",Actions!$F$7:$F$45,"Observé sur branche")+COUNTIFS(Actions!$A$7:$A$45,"HUB-08",Actions!$F$7:$F$45,"Partiel")+COUNTIFS(Actions!$A$7:$A$45,"HUB-11",Actions!$F$7:$F$45,"Partiel")+COUNTIFS(Actions!$A$7:$A$45,"HUB-12",Actions!$F$7:$F$45,"Partiel")+COUNTIFS(Actions!$A$7:$A$45,"COMBAT-06",Actions!$F$7:$F$45,"Partiel")+COUNTIFS(Actions!$A$7:$A$45,"APP-01",Actions!$F$7:$F$45,"Partiel")+COUNTIFS(Actions!$A$7:$A$45,"APP-02",Actions!$F$7:$F$45,"Partiel")+COUNTIFS(Actions!$A$7:$A$45,"APP-04",Actions!$F$7:$F$45,"Partiel")&gt;0,"Partiel","Non réalisé")))))</x:f>
        <x:v>Partiel</x:v>
      </x:c>
      <x:c r="H31" s="22" t="str">
        <x:v>Les sessions dédiées du hub ont déjà une pause avec reprise, abandon, Échap, focus et arrière-plan inactif. En revanche, le parcours campagne rend GameCanvas sans les propriétés qui raccordent cette pause.</x:v>
      </x:c>
      <x:c r="I31" s="22" t="str">
        <x:v>Pause et paramètres conservent la session. Les tiroirs changent réellement de mode natif live/modal ; fermeture et démontage rétablissent le focus sans le voler lors des mises à jour.</x:v>
      </x:c>
      <x:c r="J31" s="22" t="str">
        <x:v>Préserver le gel de simulation, les confirmations d’abandon, le nettoyage des entrées et la restitution du focus. Une petite modale centrée reste adaptée à une pause courte.</x:v>
      </x:c>
      <x:c r="K31" s="22" t="str">
        <x:v>Vérifier séparément cité, course, Extinction, Fighter, custom et missions. Ouvrir un sous-menu puis reprendre doit conserver la scène, et un retour navigateur ou une perte de visibilité ne doit pas déclencher d’action involontaire.</x:v>
      </x:c>
      <x:c r="L31" s="22" t="str">
        <x:v>Les moteurs qui dessinent leurs jauges en haut réservent 56px au plan de jeu ; le décor couvre néanmoins le viewport.
Le navigateur reste décisionnaire de l’autorisation du plein écran système.
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
La vérification des trois dimensions est une vérification mathématique des overlays dessinés et une revue de CSS ; aucun rendu navigateur des changements n’est revendiqué.
Le texte des scènes et les jauges historiques dessinées par les autres moteurs ne deviennent pas tous vectoriels ni uniformément redimensionnables. La recette preview doit vérifier aussi les préférences agrandies.
Le guide de Cité et les libellés longs doivent encore être contrôlés sur les faibles hauteurs de viewport.
App reste responsable de l’attribution des récompenses de campagne ; sa garde indépendante est suivie dans le lot APP-05.
Custom conserve l’enveloppe jusqu’à onBattleEnd ; intégration prise en charge dans le lot Hub.
La mise à l’échelle du texte vise les interfaces DOM ; les textes dessinés dans les anciens moteurs canvas conservent leur taille logique.
Validation visuelle sur différentes résolutions en cours.
La synchronisation cloud réelle n’est pas exécutée avec un compte utilisateur.
Recette interactive du clavier/manette sur la preview à compléter.</x:v>
      </x:c>
      <x:c r="M31" s="22" t="str">
        <x:v>src/components/CombatDrawer.jsx
src/game/combatDialogLifecycle.js
scripts/combatDialogLifecycle.test.mjs
scripts/browserImmersiveTransitions.py</x:v>
      </x:c>
      <x:c r="N31" s="22" t="str">
        <x:v>HUB-08, HUB-11, HUB-12, COMBAT-06, APP-01, APP-02, APP-04</x:v>
      </x:c>
      <x:c r="O31" s="22" t="str">
        <x:v>src/components/HubScreen.jsx:244–357
src/components/HubScreen.jsx:5313–5335
src/components/GameCanvas.jsx:273–289
src/App.jsx:2609–2639</x:v>
      </x:c>
      <x:c r="P31" s="26" t="str">
        <x:f>IFERROR(HYPERLINK("https://github.com/darknigthmare/multiverse-breach/blob/5f44cf344d1a9fbb0dbd7c899510b7dd16cf25d6/src/components/HubScreen.jsx#L244-L357","Source de l’audit"),"Source de l’audit")</x:f>
        <x:v>Source de l’audit</x:v>
      </x:c>
      <x:c r="Q31" s="26" t="str">
        <x:f>IFERROR(HYPERLINK("https://github.com/darknigthmare/multiverse-breach/blob/codex/immersive-ui-audit-2026-10-25/src/components/HubScreen.jsx","Réalisation actuelle"),"Réalisation actuelle")</x:f>
        <x:v>Réalisation actuelle</x:v>
      </x:c>
      <x:c r="R31" s="22" t="str">
        <x:v>Réutiliser la pause existante dans les missions et unifier la navigation système. Donner accès aux options et à l’aide, avec retour à la session sans reconstruire le moteur ni changer son état.</x:v>
      </x:c>
      <x:c r="S31" s="22" t="str">
        <x:v>CI avec données synthétiques : consulter Vérifications et continuation-2026-10-26.json. Pas d’approbation visuelle complète.</x:v>
      </x:c>
      <x:c r="T31" s="22" t="str">
        <x:v>Partiel</x:v>
      </x:c>
    </x:row>
    <x:row r="32" ht="194" customHeight="1">
      <x:c r="A32" s="25" t="n">
        <x:v>26</x:v>
      </x:c>
      <x:c r="B32" s="21" t="str">
        <x:v>Victoire, défaite et débriefing de mission</x:v>
      </x:c>
      <x:c r="C32" s="21" t="str">
        <x:v>P0</x:v>
      </x:c>
      <x:c r="D32" s="21" t="str">
        <x:f>IF(E32=0,"À traiter",IF(COUNTIFS(Actions!$A$7:$A$45,"HUB-11",Actions!$D$7:$D$45,"À préciser")+COUNTIFS(Actions!$A$7:$A$45,"COMBAT-06",Actions!$D$7:$D$45,"À préciser")+COUNTIFS(Actions!$A$7:$A$45,"APP-05",Actions!$D$7:$D$45,"À préciser")+COUNTIFS(Actions!$A$7:$A$45,"APP-06",Actions!$D$7:$D$45,"À préciser")&gt;0,"À préciser",IF(COUNTIFS(Actions!$A$7:$A$45,"HUB-11",Actions!$D$7:$D$45,"Partiel")+COUNTIFS(Actions!$A$7:$A$45,"COMBAT-06",Actions!$D$7:$D$45,"Partiel")+COUNTIFS(Actions!$A$7:$A$45,"APP-05",Actions!$D$7:$D$45,"Partiel")+COUNTIFS(Actions!$A$7:$A$45,"APP-06",Actions!$D$7:$D$45,"Partiel")+COUNTIFS(Actions!$A$7:$A$45,"HUB-11",Actions!$D$7:$D$45,"À traiter")+COUNTIFS(Actions!$A$7:$A$45,"COMBAT-06",Actions!$D$7:$D$45,"À traiter")+COUNTIFS(Actions!$A$7:$A$45,"APP-05",Actions!$D$7:$D$45,"À traiter")+COUNTIFS(Actions!$A$7:$A$45,"APP-06",Actions!$D$7:$D$45,"À traiter")&gt;0,"Partiel",IF(COUNTIFS(Actions!$A$7:$A$45,"HUB-11",Actions!$D$7:$D$45,"Implémenté")+COUNTIFS(Actions!$A$7:$A$45,"COMBAT-06",Actions!$D$7:$D$45,"Implémenté")+COUNTIFS(Actions!$A$7:$A$45,"APP-05",Actions!$D$7:$D$45,"Implémenté")+COUNTIFS(Actions!$A$7:$A$45,"APP-06",Actions!$D$7:$D$45,"Implémenté")&gt;0,"Implémenté","Conservé"))))</x:f>
        <x:v>Implémenté</x:v>
      </x:c>
      <x:c r="E32" s="31" t="n">
        <x:f>COUNTIFS(Actions!$A$7:$A$45,"HUB-11")+COUNTIFS(Actions!$A$7:$A$45,"COMBAT-06")+COUNTIFS(Actions!$A$7:$A$45,"APP-05")+COUNTIFS(Actions!$A$7:$A$45,"APP-06")</x:f>
        <x:v>4</x:v>
      </x:c>
      <x:c r="F32" s="21" t="str">
        <x:f>IF(E32=0,"Non réalisés",IF(COUNTIFS(Actions!$A$7:$A$45,"HUB-11",Actions!$E$7:$E$45,"Échec")+COUNTIFS(Actions!$A$7:$A$45,"COMBAT-06",Actions!$E$7:$E$45,"Échec")+COUNTIFS(Actions!$A$7:$A$45,"APP-05",Actions!$E$7:$E$45,"Échec")+COUNTIFS(Actions!$A$7:$A$45,"APP-06",Actions!$E$7:$E$45,"Échec")&gt;0,"Échec",IF(COUNTIFS(Actions!$A$7:$A$45,"HUB-11",Actions!$E$7:$E$45,"Bloqués")+COUNTIFS(Actions!$A$7:$A$45,"COMBAT-06",Actions!$E$7:$E$45,"Bloqués")+COUNTIFS(Actions!$A$7:$A$45,"APP-05",Actions!$E$7:$E$45,"Bloqués")+COUNTIFS(Actions!$A$7:$A$45,"APP-06",Actions!$E$7:$E$45,"Bloqués")+COUNTIFS(Actions!$A$7:$A$45,"HUB-11",Actions!$E$7:$E$45,"Partiels")+COUNTIFS(Actions!$A$7:$A$45,"COMBAT-06",Actions!$E$7:$E$45,"Partiels")+COUNTIFS(Actions!$A$7:$A$45,"APP-05",Actions!$E$7:$E$45,"Partiels")+COUNTIFS(Actions!$A$7:$A$45,"APP-06",Actions!$E$7:$E$45,"Partiels")&gt;0,"Partiels",IF(COUNTIFS(Actions!$A$7:$A$45,"HUB-11",Actions!$E$7:$E$45,"Réussis")+COUNTIFS(Actions!$A$7:$A$45,"COMBAT-06",Actions!$E$7:$E$45,"Réussis")+COUNTIFS(Actions!$A$7:$A$45,"APP-05",Actions!$E$7:$E$45,"Réussis")+COUNTIFS(Actions!$A$7:$A$45,"APP-06",Actions!$E$7:$E$45,"Réussis")=E32,"Réussis",IF(COUNTIFS(Actions!$A$7:$A$45,"HUB-11",Actions!$E$7:$E$45,"Réussis")+COUNTIFS(Actions!$A$7:$A$45,"COMBAT-06",Actions!$E$7:$E$45,"Réussis")+COUNTIFS(Actions!$A$7:$A$45,"APP-05",Actions!$E$7:$E$45,"Réussis")+COUNTIFS(Actions!$A$7:$A$45,"APP-06",Actions!$E$7:$E$45,"Réussis")&gt;0,"Partiels",IF(COUNTIFS(Actions!$A$7:$A$45,"HUB-11",Actions!$E$7:$E$45,"Déclarés")+COUNTIFS(Actions!$A$7:$A$45,"COMBAT-06",Actions!$E$7:$E$45,"Déclarés")+COUNTIFS(Actions!$A$7:$A$45,"APP-05",Actions!$E$7:$E$45,"Déclarés")+COUNTIFS(Actions!$A$7:$A$45,"APP-06",Actions!$E$7:$E$45,"Déclarés")&gt;0,"Déclarés","Non réalisés"))))))</x:f>
        <x:v>Partiels</x:v>
      </x:c>
      <x:c r="G32" s="21" t="str">
        <x:f>IF(T32&lt;&gt;"Non réalisé",T32,IF(E32=0,"Non réalisé",IF(COUNTIFS(Actions!$A$7:$A$45,"HUB-11",Actions!$F$7:$F$45,"Échec")+COUNTIFS(Actions!$A$7:$A$45,"COMBAT-06",Actions!$F$7:$F$45,"Échec")+COUNTIFS(Actions!$A$7:$A$45,"APP-05",Actions!$F$7:$F$45,"Échec")+COUNTIFS(Actions!$A$7:$A$45,"APP-06",Actions!$F$7:$F$45,"Échec")&gt;0,"Échec",IF(COUNTIFS(Actions!$A$7:$A$45,"HUB-11",Actions!$F$7:$F$45,"Observé sur branche")+COUNTIFS(Actions!$A$7:$A$45,"COMBAT-06",Actions!$F$7:$F$45,"Observé sur branche")+COUNTIFS(Actions!$A$7:$A$45,"APP-05",Actions!$F$7:$F$45,"Observé sur branche")+COUNTIFS(Actions!$A$7:$A$45,"APP-06",Actions!$F$7:$F$45,"Observé sur branche")=E32,"Observé sur branche",IF(COUNTIFS(Actions!$A$7:$A$45,"HUB-11",Actions!$F$7:$F$45,"Observé sur branche")+COUNTIFS(Actions!$A$7:$A$45,"COMBAT-06",Actions!$F$7:$F$45,"Observé sur branche")+COUNTIFS(Actions!$A$7:$A$45,"APP-05",Actions!$F$7:$F$45,"Observé sur branche")+COUNTIFS(Actions!$A$7:$A$45,"APP-06",Actions!$F$7:$F$45,"Observé sur branche")+COUNTIFS(Actions!$A$7:$A$45,"HUB-11",Actions!$F$7:$F$45,"Partiel")+COUNTIFS(Actions!$A$7:$A$45,"COMBAT-06",Actions!$F$7:$F$45,"Partiel")+COUNTIFS(Actions!$A$7:$A$45,"APP-05",Actions!$F$7:$F$45,"Partiel")+COUNTIFS(Actions!$A$7:$A$45,"APP-06",Actions!$F$7:$F$45,"Partiel")&gt;0,"Partiel","Non réalisé")))))</x:f>
        <x:v>Partiel</x:v>
      </x:c>
      <x:c r="H32" s="21" t="str">
        <x:v>Le résultat s’affiche dans le canvas, puis ouvre un débriefing riche. Hors session dédiée, le bouton de repli reste rendu alors que la victoire n’est transmise qu’après validation du résultat : risque de sortie comme abandon.</x:v>
      </x:c>
      <x:c r="I32" s="21" t="str">
        <x:v>HUB-11 — 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
COMBAT-06 — GameCanvas et Fighter exposent onPauseRequest et composent pause externe et pause des dossiers ; le moteur reste monté et l’horloge est réinitialisée aux transitions.
APP-05 — Un jeton unique par lancement verrouille la remise de récompenses.
APP-06 — Briefing avec retour à la préparation et actions fixes dans le panneau de lecture.</x:v>
      </x:c>
      <x:c r="J32" s="21" t="str">
        <x:v>Préserver tous les chiffres, les conséquences durables et les différences entre simulation custom et mission récompensée. Les transitions doivent rester découplées de l’attribution unique des gains.</x:v>
      </x:c>
      <x:c r="K32" s="21" t="str">
        <x:v>Fermer ou accélérer le résultat ne doit pas dupliquer les récompenses. Les gains doivent correspondre au profil, l’instabilité doit rester visible avant une nouvelle mission et le retour doit conduire au contexte attendu.</x:v>
      </x:c>
      <x:c r="L32" s="21" t="str">
        <x:v>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
App reste responsable de l’attribution des récompenses de campagne ; sa garde indépendante est suivie dans le lot APP-05.
Custom conserve l’enveloppe jusqu’à onBattleEnd ; intégration prise en charge dans le lot Hub.
Les visuels et textes narratifs existants sont conservés.</x:v>
      </x:c>
      <x:c r="M32" s="21" t="str">
        <x:v>src/components/HubScreen.jsx
src/game/immersiveHubState.js
scripts/immersiveHubState.test.mjs
src/components/GameCanvas.jsx
src/components/FighterMode.jsx
src/components/CombatDrawer.jsx
src/components/CombatResultDialog.jsx
src/game/combatViewport.js
scripts/combatViewport.test.mjs
scripts/customBattle.test.mjs
src/App.jsx
src/game/battleCompletionGate.js
scripts/gameSystemImmersion.test.mjs
src/components/game-system.css</x:v>
      </x:c>
      <x:c r="N32" s="21" t="str">
        <x:v>HUB-11, COMBAT-06, APP-05, APP-06</x:v>
      </x:c>
      <x:c r="O32" s="21" t="str">
        <x:v>src/components/GameCanvas.jsx:1972–2008
src/components/GameCanvas.jsx:2505–2590
src/App.jsx:873–959
src/App.jsx:2642–2649
src/components/GameCanvas.jsx:2135–2149</x:v>
      </x:c>
      <x:c r="P32" s="27" t="str">
        <x:f>IFERROR(HYPERLINK("https://github.com/darknigthmare/multiverse-breach/blob/5f44cf344d1a9fbb0dbd7c899510b7dd16cf25d6/src/components/GameCanvas.jsx#L1972-L2008","Source de l’audit"),"Source de l’audit")</x:f>
        <x:v>Source de l’audit</x:v>
      </x:c>
      <x:c r="Q32" s="27" t="str">
        <x:f>IFERROR(HYPERLINK("https://github.com/darknigthmare/multiverse-breach/blob/codex/immersive-ui-audit-2026-10-25/src/components/HubScreen.jsx","Réalisation actuelle"),"Réalisation actuelle")</x:f>
        <x:v>Réalisation actuelle</x:v>
      </x:c>
      <x:c r="R32" s="21" t="str">
        <x:v>Vérifier ce flux avant la refonte et sécuriser la sortie une fois le combat terminé. Présenter ensuite résultat, rang et gains, avec Butin, Performance, Conséquences et Journal en sous-vues.</x:v>
      </x:c>
      <x:c r="S32" s="21" t="str">
        <x:v>CI avec données synthétiques : consulter Vérifications et continuation-2026-10-26.json. Pas d’approbation visuelle complète.</x:v>
      </x:c>
      <x:c r="T32" s="21" t="str">
        <x:v>Partiel</x:v>
      </x:c>
    </x:row>
    <x:row r="33" ht="51" customHeight="1">
      <x:c r="A33" s="24" t="n">
        <x:v>27</x:v>
      </x:c>
      <x:c r="B33" s="22" t="str">
        <x:v>Registre primordial et fins de campagne</x:v>
      </x:c>
      <x:c r="C33" s="22" t="str">
        <x:v>P2</x:v>
      </x:c>
      <x:c r="D33" s="22" t="str">
        <x:f>IF(E33=0,"À traiter",IF(COUNTIFS(Actions!$A$7:$A$45,"APP-06",Actions!$D$7:$D$45,"À préciser")&gt;0,"À préciser",IF(COUNTIFS(Actions!$A$7:$A$45,"APP-06",Actions!$D$7:$D$45,"Partiel")+COUNTIFS(Actions!$A$7:$A$45,"APP-06",Actions!$D$7:$D$45,"À traiter")&gt;0,"Partiel",IF(COUNTIFS(Actions!$A$7:$A$45,"APP-06",Actions!$D$7:$D$45,"Implémenté")&gt;0,"Implémenté","Conservé"))))</x:f>
        <x:v>Implémenté</x:v>
      </x:c>
      <x:c r="E33" s="30" t="n">
        <x:f>COUNTIFS(Actions!$A$7:$A$45,"APP-06")</x:f>
        <x:v>1</x:v>
      </x:c>
      <x:c r="F33" s="22" t="str">
        <x:f>IF(E33=0,"Non réalisés",IF(COUNTIFS(Actions!$A$7:$A$45,"APP-06",Actions!$E$7:$E$45,"Échec")&gt;0,"Échec",IF(COUNTIFS(Actions!$A$7:$A$45,"APP-06",Actions!$E$7:$E$45,"Bloqués")+COUNTIFS(Actions!$A$7:$A$45,"APP-06",Actions!$E$7:$E$45,"Partiels")&gt;0,"Partiels",IF(COUNTIFS(Actions!$A$7:$A$45,"APP-06",Actions!$E$7:$E$45,"Réussis")=E33,"Réussis",IF(COUNTIFS(Actions!$A$7:$A$45,"APP-06",Actions!$E$7:$E$45,"Réussis")&gt;0,"Partiels",IF(COUNTIFS(Actions!$A$7:$A$45,"APP-06",Actions!$E$7:$E$45,"Déclarés")&gt;0,"Déclarés","Non réalisés"))))))</x:f>
        <x:v>Non réalisés</x:v>
      </x:c>
      <x:c r="G33" s="22" t="str">
        <x:f>IF(T33&lt;&gt;"Non réalisé",T33,IF(E33=0,"Non réalisé",IF(COUNTIFS(Actions!$A$7:$A$45,"APP-06",Actions!$F$7:$F$45,"Échec")&gt;0,"Échec",IF(COUNTIFS(Actions!$A$7:$A$45,"APP-06",Actions!$F$7:$F$45,"Observé sur branche")=E33,"Observé sur branche",IF(COUNTIFS(Actions!$A$7:$A$45,"APP-06",Actions!$F$7:$F$45,"Observé sur branche")+COUNTIFS(Actions!$A$7:$A$45,"APP-06",Actions!$F$7:$F$45,"Partiel")&gt;0,"Partiel","Non réalisé")))))</x:f>
        <x:v>Non réalisé</x:v>
      </x:c>
      <x:c r="H33" s="22" t="str">
        <x:v>La finale propose déjà quatre issues, indique les fins vues et la dernière inscrite, puis déroule des scènes avec conséquences et crédits. Ce contenu forme un véritable embranchement narratif existant.</x:v>
      </x:c>
      <x:c r="I33" s="22" t="str">
        <x:v>APP-06 — Briefing avec retour à la préparation et actions fixes dans le panneau de lecture.</x:v>
      </x:c>
      <x:c r="J33" s="22" t="str">
        <x:v>Conserver les quatre fins, leurs textes, scènes, conséquences et historique. Les commandes centrées ou une colonne de lecture limitée restent pertinentes pour ce moment de décision.</x:v>
      </x:c>
      <x:c r="K33" s="22" t="str">
        <x:v>Le choix sélectionné doit correspondre à la fin enregistrée. Relire une issue ne doit pas effacer les autres, et les passages entre scènes doivent rester accessibles au clavier et au tactile sans masquer leur texte.</x:v>
      </x:c>
      <x:c r="L33" s="22" t="str">
        <x:v>Les visuels et textes narratifs existants sont conservés.</x:v>
      </x:c>
      <x:c r="M33" s="22" t="str">
        <x:v>src/App.jsx
src/components/game-system.css</x:v>
      </x:c>
      <x:c r="N33" s="22" t="str">
        <x:v>APP-06</x:v>
      </x:c>
      <x:c r="O33" s="22" t="str">
        <x:v>src/App.jsx:966–1127
src/App.jsx:2652–2660
src/index.css:5782–5849</x:v>
      </x:c>
      <x:c r="P33" s="26" t="str">
        <x:f>IFERROR(HYPERLINK("https://github.com/darknigthmare/multiverse-breach/blob/5f44cf344d1a9fbb0dbd7c899510b7dd16cf25d6/src/App.jsx#L966-L1127","Source de l’audit"),"Source de l’audit")</x:f>
        <x:v>Source de l’audit</x:v>
      </x:c>
      <x:c r="Q33" s="26" t="str">
        <x:f>IFERROR(HYPERLINK("https://github.com/darknigthmare/multiverse-breach/blob/codex/immersive-ui-audit-2026-10-25/src/App.jsx","Réalisation actuelle"),"Réalisation actuelle")</x:f>
        <x:v>Réalisation actuelle</x:v>
      </x:c>
      <x:c r="R33" s="22" t="str">
        <x:v>Présenter le choix dans le registre diégétique, avec une composition visuelle distincte pour chaque issue, puis donner davantage de place à l’épilogue. Réserver les détails de chronique et les crédits à leurs étapes.</x:v>
      </x:c>
      <x:c r="S33" s="22" t="str">
        <x:v>Aucune observation de la nouvelle branche enregistrée.</x:v>
      </x:c>
      <x:c r="T33" s="22" t="str">
        <x:v>Non réalisé</x:v>
      </x:c>
    </x:row>
    <x:row r="34" ht="64" customHeight="1">
      <x:c r="A34" s="25" t="n">
        <x:v>28</x:v>
      </x:c>
      <x:c r="B34" s="21" t="str">
        <x:v>Résonance héroïque et fiche de héros</x:v>
      </x:c>
      <x:c r="C34" s="21" t="str">
        <x:v>P1</x:v>
      </x:c>
      <x:c r="D34" s="21" t="str">
        <x:f>IF(E34=0,"À traiter",IF(COUNTIFS(Actions!$A$7:$A$45,"HUB-09",Actions!$D$7:$D$45,"À préciser")&gt;0,"À préciser",IF(COUNTIFS(Actions!$A$7:$A$45,"HUB-09",Actions!$D$7:$D$45,"Partiel")+COUNTIFS(Actions!$A$7:$A$45,"HUB-09",Actions!$D$7:$D$45,"À traiter")&gt;0,"Partiel",IF(COUNTIFS(Actions!$A$7:$A$45,"HUB-09",Actions!$D$7:$D$45,"Implémenté")&gt;0,"Implémenté","Conservé"))))</x:f>
        <x:v>Implémenté</x:v>
      </x:c>
      <x:c r="E34" s="31" t="n">
        <x:f>COUNTIFS(Actions!$A$7:$A$45,"HUB-09")</x:f>
        <x:v>1</x:v>
      </x:c>
      <x:c r="F34" s="21" t="str">
        <x:f>IF(E34=0,"Non réalisés",IF(COUNTIFS(Actions!$A$7:$A$45,"HUB-09",Actions!$E$7:$E$45,"Échec")&gt;0,"Échec",IF(COUNTIFS(Actions!$A$7:$A$45,"HUB-09",Actions!$E$7:$E$45,"Bloqués")+COUNTIFS(Actions!$A$7:$A$45,"HUB-09",Actions!$E$7:$E$45,"Partiels")&gt;0,"Partiels",IF(COUNTIFS(Actions!$A$7:$A$45,"HUB-09",Actions!$E$7:$E$45,"Réussis")=E34,"Réussis",IF(COUNTIFS(Actions!$A$7:$A$45,"HUB-09",Actions!$E$7:$E$45,"Réussis")&gt;0,"Partiels",IF(COUNTIFS(Actions!$A$7:$A$45,"HUB-09",Actions!$E$7:$E$45,"Déclarés")&gt;0,"Déclarés","Non réalisés"))))))</x:f>
        <x:v>Réussis</x:v>
      </x:c>
      <x:c r="G34" s="21" t="str">
        <x:f>IF(T34&lt;&gt;"Non réalisé",T34,IF(E34=0,"Non réalisé",IF(COUNTIFS(Actions!$A$7:$A$45,"HUB-09",Actions!$F$7:$F$45,"Échec")&gt;0,"Échec",IF(COUNTIFS(Actions!$A$7:$A$45,"HUB-09",Actions!$F$7:$F$45,"Observé sur branche")=E34,"Observé sur branche",IF(COUNTIFS(Actions!$A$7:$A$45,"HUB-09",Actions!$F$7:$F$45,"Observé sur branche")+COUNTIFS(Actions!$A$7:$A$45,"HUB-09",Actions!$F$7:$F$45,"Partiel")&gt;0,"Partiel","Non réalisé")))))</x:f>
        <x:v>Non réalisé</x:v>
      </x:c>
      <x:c r="H34" s="21" t="str">
        <x:v>Le roster a déjà recherche, pagination et boutons de sélection. La fiche accumule portrait, statistiques, lore, équipement, apparence et talents. Les talents restent des div cliquables sans prise en charge clavier équivalente.</x:v>
      </x:c>
      <x:c r="I34" s="21" t="str">
        <x:v>HUB-09 — Fiche de héros avec aperçu/statistiques et actions de niveau au premier plan ; origines/doctrine/dossier et apparences/garde-robe dans des sections ouvrables.</x:v>
      </x:c>
      <x:c r="J34" s="21" t="str">
        <x:v>Préserver tous les héros autorisés, variantes, statistiques, techniques, talents, descriptions et actions. Le partage de sélection entre héros et inventaire existe déjà et doit être conservé.</x:v>
      </x:c>
      <x:c r="K34" s="21" t="str">
        <x:v>Changer de héros doit mettre à jour chaque sous-vue sans mélange de données. Les textes complets restent consultables, et revenir de l’équipement doit retrouver le même personnage, le même filtre et la même page.</x:v>
      </x:c>
      <x:c r="L34" s="21" t="str">
        <x:v>Les talents n’ont pas été rééquilibrés. Le profil garde les fonctionnalités locales existantes ; aucun multijoueur ni guilde inventé.
Recette visuelle de l’aperçu et navigation des talents au clavier à réaliser en preview.</x:v>
      </x:c>
      <x:c r="M34" s="21" t="str">
        <x:v>src/components/HubScreen.jsx
src/components/HubImmersion.css</x:v>
      </x:c>
      <x:c r="N34" s="21" t="str">
        <x:v>HUB-09</x:v>
      </x:c>
      <x:c r="O34" s="21" t="str">
        <x:v>src/components/HubScreen.jsx:5270–5270
src/components/HubScreen.jsx:10597–10981
src/components/HubScreen.jsx:9046–9055
src/components/HubScreen.jsx:10949–10974</x:v>
      </x:c>
      <x:c r="P34" s="27" t="str">
        <x:f>IFERROR(HYPERLINK("https://github.com/darknigthmare/multiverse-breach/blob/5f44cf344d1a9fbb0dbd7c899510b7dd16cf25d6/src/components/HubScreen.jsx#L5270-L5270","Source de l’audit"),"Source de l’audit")</x:f>
        <x:v>Source de l’audit</x:v>
      </x:c>
      <x:c r="Q34" s="27" t="str">
        <x:f>IFERROR(HYPERLINK("https://github.com/darknigthmare/multiverse-breach/blob/codex/immersive-ui-audit-2026-10-25/src/components/HubScreen.jsx","Réalisation actuelle"),"Réalisation actuelle")</x:f>
        <x:v>Réalisation actuelle</x:v>
      </x:c>
      <x:c r="R34" s="21" t="str">
        <x:v>Mettre le héros en grand, avec rubriques Caractéristiques, Capacités, Équipement, Apparence et Dossier. Garder le roster dans un volet et rendre les choix de talents utilisables au clavier comme les boutons de héros.</x:v>
      </x:c>
      <x:c r="S34" s="21" t="str">
        <x:v>Aucune observation de la nouvelle branche enregistrée.</x:v>
      </x:c>
      <x:c r="T34" s="21" t="str">
        <x:v>Non réalisé</x:v>
      </x:c>
    </x:row>
    <x:row r="35" ht="90" customHeight="1">
      <x:c r="A35" s="24" t="n">
        <x:v>29</x:v>
      </x:c>
      <x:c r="B35" s="22" t="str">
        <x:v>Cellule d’Ancre : équipe et réserves</x:v>
      </x:c>
      <x:c r="C35" s="22" t="str">
        <x:v>P1</x:v>
      </x:c>
      <x:c r="D35" s="22" t="str">
        <x:f>IF(E35=0,"À traiter",IF(COUNTIFS(Actions!$A$7:$A$45,"HUB-01",Actions!$D$7:$D$45,"À préciser")+COUNTIFS(Actions!$A$7:$A$45,"HUB-09",Actions!$D$7:$D$45,"À préciser")&gt;0,"À préciser",IF(COUNTIFS(Actions!$A$7:$A$45,"HUB-01",Actions!$D$7:$D$45,"Partiel")+COUNTIFS(Actions!$A$7:$A$45,"HUB-09",Actions!$D$7:$D$45,"Partiel")+COUNTIFS(Actions!$A$7:$A$45,"HUB-01",Actions!$D$7:$D$45,"À traiter")+COUNTIFS(Actions!$A$7:$A$45,"HUB-09",Actions!$D$7:$D$45,"À traiter")&gt;0,"Partiel",IF(COUNTIFS(Actions!$A$7:$A$45,"HUB-01",Actions!$D$7:$D$45,"Implémenté")+COUNTIFS(Actions!$A$7:$A$45,"HUB-09",Actions!$D$7:$D$45,"Implémenté")&gt;0,"Implémenté","Conservé"))))</x:f>
        <x:v>Implémenté</x:v>
      </x:c>
      <x:c r="E35" s="30" t="n">
        <x:f>COUNTIFS(Actions!$A$7:$A$45,"HUB-01")+COUNTIFS(Actions!$A$7:$A$45,"HUB-09")</x:f>
        <x:v>2</x:v>
      </x:c>
      <x:c r="F35" s="22" t="str">
        <x:f>IF(E35=0,"Non réalisés",IF(COUNTIFS(Actions!$A$7:$A$45,"HUB-01",Actions!$E$7:$E$45,"Échec")+COUNTIFS(Actions!$A$7:$A$45,"HUB-09",Actions!$E$7:$E$45,"Échec")&gt;0,"Échec",IF(COUNTIFS(Actions!$A$7:$A$45,"HUB-01",Actions!$E$7:$E$45,"Bloqués")+COUNTIFS(Actions!$A$7:$A$45,"HUB-09",Actions!$E$7:$E$45,"Bloqués")+COUNTIFS(Actions!$A$7:$A$45,"HUB-01",Actions!$E$7:$E$45,"Partiels")+COUNTIFS(Actions!$A$7:$A$45,"HUB-09",Actions!$E$7:$E$45,"Partiels")&gt;0,"Partiels",IF(COUNTIFS(Actions!$A$7:$A$45,"HUB-01",Actions!$E$7:$E$45,"Réussis")+COUNTIFS(Actions!$A$7:$A$45,"HUB-09",Actions!$E$7:$E$45,"Réussis")=E35,"Réussis",IF(COUNTIFS(Actions!$A$7:$A$45,"HUB-01",Actions!$E$7:$E$45,"Réussis")+COUNTIFS(Actions!$A$7:$A$45,"HUB-09",Actions!$E$7:$E$45,"Réussis")&gt;0,"Partiels",IF(COUNTIFS(Actions!$A$7:$A$45,"HUB-01",Actions!$E$7:$E$45,"Déclarés")+COUNTIFS(Actions!$A$7:$A$45,"HUB-09",Actions!$E$7:$E$45,"Déclarés")&gt;0,"Déclarés","Non réalisés"))))))</x:f>
        <x:v>Réussis</x:v>
      </x:c>
      <x:c r="G35" s="22" t="str">
        <x:f>IF(T35&lt;&gt;"Non réalisé",T35,IF(E35=0,"Non réalisé",IF(COUNTIFS(Actions!$A$7:$A$45,"HUB-01",Actions!$F$7:$F$45,"Échec")+COUNTIFS(Actions!$A$7:$A$45,"HUB-09",Actions!$F$7:$F$45,"Échec")&gt;0,"Échec",IF(COUNTIFS(Actions!$A$7:$A$45,"HUB-01",Actions!$F$7:$F$45,"Observé sur branche")+COUNTIFS(Actions!$A$7:$A$45,"HUB-09",Actions!$F$7:$F$45,"Observé sur branche")=E35,"Observé sur branche",IF(COUNTIFS(Actions!$A$7:$A$45,"HUB-01",Actions!$F$7:$F$45,"Observé sur branche")+COUNTIFS(Actions!$A$7:$A$45,"HUB-09",Actions!$F$7:$F$45,"Observé sur branche")+COUNTIFS(Actions!$A$7:$A$45,"HUB-01",Actions!$F$7:$F$45,"Partiel")+COUNTIFS(Actions!$A$7:$A$45,"HUB-09",Actions!$F$7:$F$45,"Partiel")&gt;0,"Partiel","Non réalisé")))))</x:f>
        <x:v>Non réalisé</x:v>
      </x:c>
      <x:c r="H35" s="22" t="str">
        <x:v>La cellule est déjà séparée du profil. Elle réunit équipe, synergies, réserves et propositions assistées, avec des outils de préparation utiles à la constitution du groupe.</x:v>
      </x:c>
      <x:c r="I35" s="22" t="str">
        <x:v>HUB-01 — Shell de jeu en grille 100dvh : navigation latérale compacte, en-tête de ressources, filtres contextuels et espace principal borné. Navigation mobile sur deux rails horizontaux.
HUB-09 — Fiche de héros avec aperçu/statistiques et actions de niveau au premier plan ; origines/doctrine/dossier et apparences/garde-robe dans des sections ouvrables.</x:v>
      </x:c>
      <x:c r="J35" s="22" t="str">
        <x:v>Conserver propositions, réserves, autoéquipement, avertissements, synergies et règles d’effectif. Les informations complètes restent dans les fiches, sans multiplier les panneaux sur l’écran principal.</x:v>
      </x:c>
      <x:c r="K35" s="22" t="str">
        <x:v>Chaque remplacement doit rendre visibles son effet sur l’équipe et ses synergies. Une annulation doit préserver la composition précédente ; retour d’une fiche et reprise de préparation doivent retrouver le personnage et la réserve sélectionnés.</x:v>
      </x:c>
      <x:c r="L35" s="22" t="str">
        <x:v>Recette visuelle Vercel encore nécessaire, notamment 390px, 1363px et ultralarge.
Les catalogues et cartes existants conservent leur contenu et leur logique ; le travail ne crée pas de nouveaux décors propres à chaque écran secondaire.
Les talents n’ont pas été rééquilibrés. Le profil garde les fonctionnalités locales existantes ; aucun multijoueur ni guilde inventé.
Recette visuelle de l’aperçu et navigation des talents au clavier à réaliser en preview.</x:v>
      </x:c>
      <x:c r="M35" s="22" t="str">
        <x:v>src/components/HubScreen.jsx
src/components/HubImmersion.css</x:v>
      </x:c>
      <x:c r="N35" s="22" t="str">
        <x:v>HUB-01, HUB-09</x:v>
      </x:c>
      <x:c r="O35" s="22" t="str">
        <x:v>src/components/HubScreen.jsx:11054–11468
src/components/HubScreen.jsx:11281–11300</x:v>
      </x:c>
      <x:c r="P35" s="26" t="str">
        <x:f>IFERROR(HYPERLINK("https://github.com/darknigthmare/multiverse-breach/blob/5f44cf344d1a9fbb0dbd7c899510b7dd16cf25d6/src/components/HubScreen.jsx#L11054-L11468","Source de l’audit"),"Source de l’audit")</x:f>
        <x:v>Source de l’audit</x:v>
      </x:c>
      <x:c r="Q35" s="26" t="str">
        <x:f>IFERROR(HYPERLINK("https://github.com/darknigthmare/multiverse-breach/blob/codex/immersive-ui-audit-2026-10-25/src/components/HubScreen.jsx","Réalisation actuelle"),"Réalisation actuelle")</x:f>
        <x:v>Réalisation actuelle</x:v>
      </x:c>
      <x:c r="R35" s="22" t="str">
        <x:v>Présenter une salle de préparation dominée par les trois emplacements de l’équipe. Ouvrir les réserves à côté de l’emplacement choisi, afficher les synergies pertinentes et garder les recommandations comme aide contextuelle.</x:v>
      </x:c>
      <x:c r="S35" s="22" t="str">
        <x:v>Aucune observation de la nouvelle branche enregistrée.</x:v>
      </x:c>
      <x:c r="T35" s="22" t="str">
        <x:v>Non réalisé</x:v>
      </x:c>
    </x:row>
    <x:row r="36" ht="116" customHeight="1">
      <x:c r="A36" s="25" t="n">
        <x:v>30</x:v>
      </x:c>
      <x:c r="B36" s="21" t="str">
        <x:v>Dossier d’Ancre et personnalisation</x:v>
      </x:c>
      <x:c r="C36" s="21" t="str">
        <x:v>P1</x:v>
      </x:c>
      <x:c r="D36" s="21" t="str">
        <x:f>IF(E36=0,"À traiter",IF(COUNTIFS(Actions!$A$7:$A$45,"HUB-01",Actions!$D$7:$D$45,"À préciser")+COUNTIFS(Actions!$A$7:$A$45,"HUB-02",Actions!$D$7:$D$45,"À préciser")+COUNTIFS(Actions!$A$7:$A$45,"HUB-09",Actions!$D$7:$D$45,"À préciser")&gt;0,"À préciser",IF(COUNTIFS(Actions!$A$7:$A$45,"HUB-01",Actions!$D$7:$D$45,"Partiel")+COUNTIFS(Actions!$A$7:$A$45,"HUB-02",Actions!$D$7:$D$45,"Partiel")+COUNTIFS(Actions!$A$7:$A$45,"HUB-09",Actions!$D$7:$D$45,"Partiel")+COUNTIFS(Actions!$A$7:$A$45,"HUB-01",Actions!$D$7:$D$45,"À traiter")+COUNTIFS(Actions!$A$7:$A$45,"HUB-02",Actions!$D$7:$D$45,"À traiter")+COUNTIFS(Actions!$A$7:$A$45,"HUB-09",Actions!$D$7:$D$45,"À traiter")&gt;0,"Partiel",IF(COUNTIFS(Actions!$A$7:$A$45,"HUB-01",Actions!$D$7:$D$45,"Implémenté")+COUNTIFS(Actions!$A$7:$A$45,"HUB-02",Actions!$D$7:$D$45,"Implémenté")+COUNTIFS(Actions!$A$7:$A$45,"HUB-09",Actions!$D$7:$D$45,"Implémenté")&gt;0,"Implémenté","Conservé"))))</x:f>
        <x:v>Implémenté</x:v>
      </x:c>
      <x:c r="E36" s="31" t="n">
        <x:f>COUNTIFS(Actions!$A$7:$A$45,"HUB-01")+COUNTIFS(Actions!$A$7:$A$45,"HUB-02")+COUNTIFS(Actions!$A$7:$A$45,"HUB-09")</x:f>
        <x:v>3</x:v>
      </x:c>
      <x:c r="F36" s="21" t="str">
        <x:f>IF(E36=0,"Non réalisés",IF(COUNTIFS(Actions!$A$7:$A$45,"HUB-01",Actions!$E$7:$E$45,"Échec")+COUNTIFS(Actions!$A$7:$A$45,"HUB-02",Actions!$E$7:$E$45,"Échec")+COUNTIFS(Actions!$A$7:$A$45,"HUB-09",Actions!$E$7:$E$45,"Échec")&gt;0,"Échec",IF(COUNTIFS(Actions!$A$7:$A$45,"HUB-01",Actions!$E$7:$E$45,"Bloqués")+COUNTIFS(Actions!$A$7:$A$45,"HUB-02",Actions!$E$7:$E$45,"Bloqués")+COUNTIFS(Actions!$A$7:$A$45,"HUB-09",Actions!$E$7:$E$45,"Bloqués")+COUNTIFS(Actions!$A$7:$A$45,"HUB-01",Actions!$E$7:$E$45,"Partiels")+COUNTIFS(Actions!$A$7:$A$45,"HUB-02",Actions!$E$7:$E$45,"Partiels")+COUNTIFS(Actions!$A$7:$A$45,"HUB-09",Actions!$E$7:$E$45,"Partiels")&gt;0,"Partiels",IF(COUNTIFS(Actions!$A$7:$A$45,"HUB-01",Actions!$E$7:$E$45,"Réussis")+COUNTIFS(Actions!$A$7:$A$45,"HUB-02",Actions!$E$7:$E$45,"Réussis")+COUNTIFS(Actions!$A$7:$A$45,"HUB-09",Actions!$E$7:$E$45,"Réussis")=E36,"Réussis",IF(COUNTIFS(Actions!$A$7:$A$45,"HUB-01",Actions!$E$7:$E$45,"Réussis")+COUNTIFS(Actions!$A$7:$A$45,"HUB-02",Actions!$E$7:$E$45,"Réussis")+COUNTIFS(Actions!$A$7:$A$45,"HUB-09",Actions!$E$7:$E$45,"Réussis")&gt;0,"Partiels",IF(COUNTIFS(Actions!$A$7:$A$45,"HUB-01",Actions!$E$7:$E$45,"Déclarés")+COUNTIFS(Actions!$A$7:$A$45,"HUB-02",Actions!$E$7:$E$45,"Déclarés")+COUNTIFS(Actions!$A$7:$A$45,"HUB-09",Actions!$E$7:$E$45,"Déclarés")&gt;0,"Déclarés","Non réalisés"))))))</x:f>
        <x:v>Réussis</x:v>
      </x:c>
      <x:c r="G36" s="21" t="str">
        <x:f>IF(T36&lt;&gt;"Non réalisé",T36,IF(E36=0,"Non réalisé",IF(COUNTIFS(Actions!$A$7:$A$45,"HUB-01",Actions!$F$7:$F$45,"Échec")+COUNTIFS(Actions!$A$7:$A$45,"HUB-02",Actions!$F$7:$F$45,"Échec")+COUNTIFS(Actions!$A$7:$A$45,"HUB-09",Actions!$F$7:$F$45,"Échec")&gt;0,"Échec",IF(COUNTIFS(Actions!$A$7:$A$45,"HUB-01",Actions!$F$7:$F$45,"Observé sur branche")+COUNTIFS(Actions!$A$7:$A$45,"HUB-02",Actions!$F$7:$F$45,"Observé sur branche")+COUNTIFS(Actions!$A$7:$A$45,"HUB-09",Actions!$F$7:$F$45,"Observé sur branche")=E36,"Observé sur branche",IF(COUNTIFS(Actions!$A$7:$A$45,"HUB-01",Actions!$F$7:$F$45,"Observé sur branche")+COUNTIFS(Actions!$A$7:$A$45,"HUB-02",Actions!$F$7:$F$45,"Observé sur branche")+COUNTIFS(Actions!$A$7:$A$45,"HUB-09",Actions!$F$7:$F$45,"Observé sur branche")+COUNTIFS(Actions!$A$7:$A$45,"HUB-01",Actions!$F$7:$F$45,"Partiel")+COUNTIFS(Actions!$A$7:$A$45,"HUB-02",Actions!$F$7:$F$45,"Partiel")+COUNTIFS(Actions!$A$7:$A$45,"HUB-09",Actions!$F$7:$F$45,"Partiel")&gt;0,"Partiel","Non réalisé")))))</x:f>
        <x:v>Non réalisé</x:v>
      </x:c>
      <x:c r="H36" s="21" t="str">
        <x:v>Le Dossier d’Ancre est déjà une page séparée avec bannière, titre, profil, code ami, collection et panneau de personnalisation. Certains textes évoquent encore un futur point de contact multijoueur.</x:v>
      </x:c>
      <x:c r="I36" s="21" t="str">
        <x:v>HUB-01 — Shell de jeu en grille 100dvh : navigation latérale compacte, en-tête de ressources, filtres contextuels et espace principal borné. Navigation mobile sur deux rails horizontaux.
HUB-02 — Les quatre blocs de progression auparavant conditionnés par legacyStoryMeta sont déplacés, via une transformation AST contrôlée, vers un Registre accessible depuis Directive &amp; cycle.
HUB-09 — Fiche de héros avec aperçu/statistiques et actions de niveau au premier plan ; origines/doctrine/dossier et apparences/garde-robe dans des sections ouvrables.</x:v>
      </x:c>
      <x:c r="J36" s="21" t="str">
        <x:v>Préserver tous les éléments cosmétiques déverrouillés, titres, bannières, informations publiques et règles de visibilité. Ne pas transformer les mentions de futur multijoueur en promesse de fonctions opérationnelles.</x:v>
      </x:c>
      <x:c r="K36" s="21" t="str">
        <x:v>Un changement cosmétique doit être prévisualisable et retrouver son état après retour au jeu. Les options verrouillées doivent expliquer leur condition, et les informations publiques ne doivent pas changer au simple survol.</x:v>
      </x:c>
      <x:c r="L36" s="21" t="str">
        <x:v>Recette visuelle Vercel encore nécessaire, notamment 390px, 1363px et ultralarge.
Les catalogues et cartes existants conservent leur contenu et leur logique ; le travail ne crée pas de nouveaux décors propres à chaque écran secondaire.
Contrôle visuel et activation manuelle de chaque dossier en preview encore à réaliser ; les tests de progression existants restent verts.
Les talents n’ont pas été rééquilibrés. Le profil garde les fonctionnalités locales existantes ; aucun multijoueur ni guilde inventé.
Recette visuelle de l’aperçu et navigation des talents au clavier à réaliser en preview.</x:v>
      </x:c>
      <x:c r="M36" s="21" t="str">
        <x:v>src/components/HubScreen.jsx
src/components/HubImmersion.css
src/components/ImmersiveDrawer.jsx</x:v>
      </x:c>
      <x:c r="N36" s="21" t="str">
        <x:v>HUB-01, HUB-02, HUB-09</x:v>
      </x:c>
      <x:c r="O36" s="21" t="str">
        <x:v>src/components/HubScreen.jsx:10983–11052
src/components/PortalScreen.jsx:2144–2147</x:v>
      </x:c>
      <x:c r="P36" s="27" t="str">
        <x:f>IFERROR(HYPERLINK("https://github.com/darknigthmare/multiverse-breach/blob/5f44cf344d1a9fbb0dbd7c899510b7dd16cf25d6/src/components/HubScreen.jsx#L10983-L11052","Source de l’audit"),"Source de l’audit")</x:f>
        <x:v>Source de l’audit</x:v>
      </x:c>
      <x:c r="Q36" s="27" t="str">
        <x:f>IFERROR(HYPERLINK("https://github.com/darknigthmare/multiverse-breach/blob/codex/immersive-ui-audit-2026-10-25/src/components/HubScreen.jsx","Réalisation actuelle"),"Réalisation actuelle")</x:f>
        <x:v>Réalisation actuelle</x:v>
      </x:c>
      <x:c r="R36" s="21" t="str">
        <x:v>Utiliser une scène d’identité ou un vestiaire, avec aperçu dominant et rubriques Apparence, Présentation et Profil. Les détails de collection et de partage peuvent être ouverts à la demande sans encombrer la personnalisation.</x:v>
      </x:c>
      <x:c r="S36" s="21" t="str">
        <x:v>Aucune observation de la nouvelle branche enregistrée.</x:v>
      </x:c>
      <x:c r="T36" s="21" t="str">
        <x:v>Non réalisé</x:v>
      </x:c>
    </x:row>
    <x:row r="37" ht="64" customHeight="1">
      <x:c r="A37" s="24" t="n">
        <x:v>31</x:v>
      </x:c>
      <x:c r="B37" s="22" t="str">
        <x:v>Équipement des héros et inventaire</x:v>
      </x:c>
      <x:c r="C37" s="22" t="str">
        <x:v>P1</x:v>
      </x:c>
      <x:c r="D37" s="22" t="str">
        <x:f>IF(E37=0,"À traiter",IF(COUNTIFS(Actions!$A$7:$A$45,"HUB-10",Actions!$D$7:$D$45,"À préciser")&gt;0,"À préciser",IF(COUNTIFS(Actions!$A$7:$A$45,"HUB-10",Actions!$D$7:$D$45,"Partiel")+COUNTIFS(Actions!$A$7:$A$45,"HUB-10",Actions!$D$7:$D$45,"À traiter")&gt;0,"Partiel",IF(COUNTIFS(Actions!$A$7:$A$45,"HUB-10",Actions!$D$7:$D$45,"Implémenté")&gt;0,"Implémenté","Conservé"))))</x:f>
        <x:v>Implémenté</x:v>
      </x:c>
      <x:c r="E37" s="30" t="n">
        <x:f>COUNTIFS(Actions!$A$7:$A$45,"HUB-10")</x:f>
        <x:v>1</x:v>
      </x:c>
      <x:c r="F37" s="22" t="str">
        <x:f>IF(E37=0,"Non réalisés",IF(COUNTIFS(Actions!$A$7:$A$45,"HUB-10",Actions!$E$7:$E$45,"Échec")&gt;0,"Échec",IF(COUNTIFS(Actions!$A$7:$A$45,"HUB-10",Actions!$E$7:$E$45,"Bloqués")+COUNTIFS(Actions!$A$7:$A$45,"HUB-10",Actions!$E$7:$E$45,"Partiels")&gt;0,"Partiels",IF(COUNTIFS(Actions!$A$7:$A$45,"HUB-10",Actions!$E$7:$E$45,"Réussis")=E37,"Réussis",IF(COUNTIFS(Actions!$A$7:$A$45,"HUB-10",Actions!$E$7:$E$45,"Réussis")&gt;0,"Partiels",IF(COUNTIFS(Actions!$A$7:$A$45,"HUB-10",Actions!$E$7:$E$45,"Déclarés")&gt;0,"Déclarés","Non réalisés"))))))</x:f>
        <x:v>Réussis</x:v>
      </x:c>
      <x:c r="G37" s="22" t="str">
        <x:f>IF(T37&lt;&gt;"Non réalisé",T37,IF(E37=0,"Non réalisé",IF(COUNTIFS(Actions!$A$7:$A$45,"HUB-10",Actions!$F$7:$F$45,"Échec")&gt;0,"Échec",IF(COUNTIFS(Actions!$A$7:$A$45,"HUB-10",Actions!$F$7:$F$45,"Observé sur branche")=E37,"Observé sur branche",IF(COUNTIFS(Actions!$A$7:$A$45,"HUB-10",Actions!$F$7:$F$45,"Observé sur branche")+COUNTIFS(Actions!$A$7:$A$45,"HUB-10",Actions!$F$7:$F$45,"Partiel")&gt;0,"Partiel","Non réalisé")))))</x:f>
        <x:v>Non réalisé</x:v>
      </x:c>
      <x:c r="H37" s="22" t="str">
        <x:v>L’équipement offre déjà listes, emplacements, filtres et pagination. La richesse des objets et des états impose cependant plusieurs ensembles de contrôles qui peuvent prendre le pas sur le personnage équipé.</x:v>
      </x:c>
      <x:c r="I37" s="22" t="str">
        <x:v>HUB-10 — Équipement : comparaison explicite de chaque bonus de relique, incluant les statistiques perdues en remplaçant l’emplacement. Les deltas sont nommés bonus de relique, sans prétendre être les attributs finaux du combat.</x:v>
      </x:c>
      <x:c r="J37" s="22" t="str">
        <x:v>Conserver tous les slots, objets, filtres, recherches, pagination, compatibilités et indications d’équipement ailleurs. La refonte ne doit pas réduire le nombre de choix ou masquer les restrictions.</x:v>
      </x:c>
      <x:c r="K37" s="22" t="str">
        <x:v>Équiper ou retirer doit actualiser simultanément le slot, l’inventaire et les statistiques utiles. Une sélection incompatible reste explicite ; changer de héros doit conserver une navigation lisible et empêcher une attribution au mauvais personnage.</x:v>
      </x:c>
      <x:c r="L37" s="22" t="str">
        <x:v>La comparaison concerne les bonus additifs du slot relique ; les multiplicateurs de synergie/talent et objets événementiels ne sont pas estimés comme des statistiques finales.
Les actions d’achat et fusion restent celles du jeu ; elles n’ont pas été réécrites.</x:v>
      </x:c>
      <x:c r="M37" s="22" t="str">
        <x:v>src/components/HubScreen.jsx
src/components/HubImmersion.css
src/game/immersiveHubState.js
scripts/immersiveHubState.test.mjs</x:v>
      </x:c>
      <x:c r="N37" s="22" t="str">
        <x:v>HUB-10</x:v>
      </x:c>
      <x:c r="O37" s="22" t="str">
        <x:v>src/components/HubScreen.jsx:11642–11970
src/components/HubScreen.jsx:11647–11670
src/components/HubScreen.jsx:11774–11795</x:v>
      </x:c>
      <x:c r="P37" s="26" t="str">
        <x:f>IFERROR(HYPERLINK("https://github.com/darknigthmare/multiverse-breach/blob/5f44cf344d1a9fbb0dbd7c899510b7dd16cf25d6/src/components/HubScreen.jsx#L11642-L11970","Source de l’audit"),"Source de l’audit")</x:f>
        <x:v>Source de l’audit</x:v>
      </x:c>
      <x:c r="Q37" s="26" t="str">
        <x:f>IFERROR(HYPERLINK("https://github.com/darknigthmare/multiverse-breach/blob/codex/immersive-ui-audit-2026-10-25/src/components/HubScreen.jsx","Réalisation actuelle"),"Réalisation actuelle")</x:f>
        <x:v>Réalisation actuelle</x:v>
      </x:c>
      <x:c r="R37" s="22" t="str">
        <x:v>Composer un atelier avec silhouette ou portrait, emplacements autour du personnage, catalogue voisin et comparaison de l’objet sélectionné. Ranger description longue et lore dans une fiche, en gardant effets et compatibilité visibles.</x:v>
      </x:c>
      <x:c r="S37" s="22" t="str">
        <x:v>Aucune observation de la nouvelle branche enregistrée.</x:v>
      </x:c>
      <x:c r="T37" s="22" t="str">
        <x:v>Non réalisé</x:v>
      </x:c>
    </x:row>
    <x:row r="38" ht="90" customHeight="1">
      <x:c r="A38" s="25" t="n">
        <x:v>32</x:v>
      </x:c>
      <x:c r="B38" s="21" t="str">
        <x:v>Échange de signaux et boutique</x:v>
      </x:c>
      <x:c r="C38" s="21" t="str">
        <x:v>P1</x:v>
      </x:c>
      <x:c r="D38" s="21" t="str">
        <x:f>IF(E38=0,"À traiter",IF(COUNTIFS(Actions!$A$7:$A$45,"HUB-01",Actions!$D$7:$D$45,"À préciser")+COUNTIFS(Actions!$A$7:$A$45,"HUB-10",Actions!$D$7:$D$45,"À préciser")&gt;0,"À préciser",IF(COUNTIFS(Actions!$A$7:$A$45,"HUB-01",Actions!$D$7:$D$45,"Partiel")+COUNTIFS(Actions!$A$7:$A$45,"HUB-10",Actions!$D$7:$D$45,"Partiel")+COUNTIFS(Actions!$A$7:$A$45,"HUB-01",Actions!$D$7:$D$45,"À traiter")+COUNTIFS(Actions!$A$7:$A$45,"HUB-10",Actions!$D$7:$D$45,"À traiter")&gt;0,"Partiel",IF(COUNTIFS(Actions!$A$7:$A$45,"HUB-01",Actions!$D$7:$D$45,"Implémenté")+COUNTIFS(Actions!$A$7:$A$45,"HUB-10",Actions!$D$7:$D$45,"Implémenté")&gt;0,"Implémenté","Conservé"))))</x:f>
        <x:v>Implémenté</x:v>
      </x:c>
      <x:c r="E38" s="31" t="n">
        <x:f>COUNTIFS(Actions!$A$7:$A$45,"HUB-01")+COUNTIFS(Actions!$A$7:$A$45,"HUB-10")</x:f>
        <x:v>2</x:v>
      </x:c>
      <x:c r="F38" s="21" t="str">
        <x:f>IF(E38=0,"Non réalisés",IF(COUNTIFS(Actions!$A$7:$A$45,"HUB-01",Actions!$E$7:$E$45,"Échec")+COUNTIFS(Actions!$A$7:$A$45,"HUB-10",Actions!$E$7:$E$45,"Échec")&gt;0,"Échec",IF(COUNTIFS(Actions!$A$7:$A$45,"HUB-01",Actions!$E$7:$E$45,"Bloqués")+COUNTIFS(Actions!$A$7:$A$45,"HUB-10",Actions!$E$7:$E$45,"Bloqués")+COUNTIFS(Actions!$A$7:$A$45,"HUB-01",Actions!$E$7:$E$45,"Partiels")+COUNTIFS(Actions!$A$7:$A$45,"HUB-10",Actions!$E$7:$E$45,"Partiels")&gt;0,"Partiels",IF(COUNTIFS(Actions!$A$7:$A$45,"HUB-01",Actions!$E$7:$E$45,"Réussis")+COUNTIFS(Actions!$A$7:$A$45,"HUB-10",Actions!$E$7:$E$45,"Réussis")=E38,"Réussis",IF(COUNTIFS(Actions!$A$7:$A$45,"HUB-01",Actions!$E$7:$E$45,"Réussis")+COUNTIFS(Actions!$A$7:$A$45,"HUB-10",Actions!$E$7:$E$45,"Réussis")&gt;0,"Partiels",IF(COUNTIFS(Actions!$A$7:$A$45,"HUB-01",Actions!$E$7:$E$45,"Déclarés")+COUNTIFS(Actions!$A$7:$A$45,"HUB-10",Actions!$E$7:$E$45,"Déclarés")&gt;0,"Déclarés","Non réalisés"))))))</x:f>
        <x:v>Réussis</x:v>
      </x:c>
      <x:c r="G38" s="21" t="str">
        <x:f>IF(T38&lt;&gt;"Non réalisé",T38,IF(E38=0,"Non réalisé",IF(COUNTIFS(Actions!$A$7:$A$45,"HUB-01",Actions!$F$7:$F$45,"Échec")+COUNTIFS(Actions!$A$7:$A$45,"HUB-10",Actions!$F$7:$F$45,"Échec")&gt;0,"Échec",IF(COUNTIFS(Actions!$A$7:$A$45,"HUB-01",Actions!$F$7:$F$45,"Observé sur branche")+COUNTIFS(Actions!$A$7:$A$45,"HUB-10",Actions!$F$7:$F$45,"Observé sur branche")=E38,"Observé sur branche",IF(COUNTIFS(Actions!$A$7:$A$45,"HUB-01",Actions!$F$7:$F$45,"Observé sur branche")+COUNTIFS(Actions!$A$7:$A$45,"HUB-10",Actions!$F$7:$F$45,"Observé sur branche")+COUNTIFS(Actions!$A$7:$A$45,"HUB-01",Actions!$F$7:$F$45,"Partiel")+COUNTIFS(Actions!$A$7:$A$45,"HUB-10",Actions!$F$7:$F$45,"Partiel")&gt;0,"Partiel","Non réalisé")))))</x:f>
        <x:v>Non réalisé</x:v>
      </x:c>
      <x:c r="H38" s="21" t="str">
        <x:v>La boutique possède déjà recherche et pagination, et les objets peuvent utiliser des images avec repli. Elle reste structurée comme un catalogue de cartes et de commandes dans le hub.</x:v>
      </x:c>
      <x:c r="I38" s="21" t="str">
        <x:v>HUB-01 — Shell de jeu en grille 100dvh : navigation latérale compacte, en-tête de ressources, filtres contextuels et espace principal borné. Navigation mobile sur deux rails horizontaux.
HUB-10 — Équipement : comparaison explicite de chaque bonus de relique, incluant les statistiques perdues en remplaçant l’emplacement. Les deltas sont nommés bonus de relique, sans prétendre être les attributs finaux du combat.</x:v>
      </x:c>
      <x:c r="J38" s="21" t="str">
        <x:v>Conserver tous les objets, monnaies, filtres, états acquis ou verrouillés et règles d’achat. La présentation immersive ne doit pas rendre le coût moins visible ou confondre consultation et achat.</x:v>
      </x:c>
      <x:c r="K38" s="21" t="str">
        <x:v>Chaque achat doit correspondre à l’objet sélectionné et à son prix affiché. Les états insuffisant, déjà acquis et indisponible doivent être compréhensibles ; le retour à une fiche conserve page et filtre.</x:v>
      </x:c>
      <x:c r="L38" s="21" t="str">
        <x:v>Recette visuelle Vercel encore nécessaire, notamment 390px, 1363px et ultralarge.
Les catalogues et cartes existants conservent leur contenu et leur logique ; le travail ne crée pas de nouveaux décors propres à chaque écran secondaire.
La comparaison concerne les bonus additifs du slot relique ; les multiplicateurs de synergie/talent et objets événementiels ne sont pas estimés comme des statistiques finales.
Les actions d’achat et fusion restent celles du jeu ; elles n’ont pas été réécrites.</x:v>
      </x:c>
      <x:c r="M38" s="21" t="str">
        <x:v>src/components/HubScreen.jsx
src/components/HubImmersion.css
src/game/immersiveHubState.js
scripts/immersiveHubState.test.mjs</x:v>
      </x:c>
      <x:c r="N38" s="21" t="str">
        <x:v>HUB-01, HUB-10</x:v>
      </x:c>
      <x:c r="O38" s="21" t="str">
        <x:v>src/components/HubScreen.jsx:11972–12160
src/components/HubScreen.jsx:125–145</x:v>
      </x:c>
      <x:c r="P38" s="27" t="str">
        <x:f>IFERROR(HYPERLINK("https://github.com/darknigthmare/multiverse-breach/blob/5f44cf344d1a9fbb0dbd7c899510b7dd16cf25d6/src/components/HubScreen.jsx#L11972-L12160","Source de l’audit"),"Source de l’audit")</x:f>
        <x:v>Source de l’audit</x:v>
      </x:c>
      <x:c r="Q38" s="27" t="str">
        <x:f>IFERROR(HYPERLINK("https://github.com/darknigthmare/multiverse-breach/blob/codex/immersive-ui-audit-2026-10-25/src/components/HubScreen.jsx","Réalisation actuelle"),"Réalisation actuelle")</x:f>
        <x:v>Réalisation actuelle</x:v>
      </x:c>
      <x:c r="R38" s="21" t="str">
        <x:v>Créer un comptoir d’armurerie plein viewport : objet choisi en grand, catalogue compact, prix, solde et effet proches de l’action Acheter. Les explications et variantes restent disponibles dans une fiche détaillée.</x:v>
      </x:c>
      <x:c r="S38" s="21" t="str">
        <x:v>Aucune observation de la nouvelle branche enregistrée.</x:v>
      </x:c>
      <x:c r="T38" s="21" t="str">
        <x:v>Non réalisé</x:v>
      </x:c>
    </x:row>
    <x:row r="39" ht="64" customHeight="1">
      <x:c r="A39" s="24" t="n">
        <x:v>33</x:v>
      </x:c>
      <x:c r="B39" s="22" t="str">
        <x:v>Collection d’univers et dossier d’univers</x:v>
      </x:c>
      <x:c r="C39" s="22" t="str">
        <x:v>P1</x:v>
      </x:c>
      <x:c r="D39" s="22" t="str">
        <x:f>IF(E39=0,"À traiter",IF(COUNTIFS(Actions!$A$7:$A$45,"shell-universe",Actions!$D$7:$D$45,"À préciser")&gt;0,"À préciser",IF(COUNTIFS(Actions!$A$7:$A$45,"shell-universe",Actions!$D$7:$D$45,"Partiel")+COUNTIFS(Actions!$A$7:$A$45,"shell-universe",Actions!$D$7:$D$45,"À traiter")&gt;0,"Partiel",IF(COUNTIFS(Actions!$A$7:$A$45,"shell-universe",Actions!$D$7:$D$45,"Implémenté")&gt;0,"Implémenté","Conservé"))))</x:f>
        <x:v>Implémenté</x:v>
      </x:c>
      <x:c r="E39" s="30" t="n">
        <x:f>COUNTIFS(Actions!$A$7:$A$45,"shell-universe")</x:f>
        <x:v>1</x:v>
      </x:c>
      <x:c r="F39" s="22" t="str">
        <x:f>IF(E39=0,"Non réalisés",IF(COUNTIFS(Actions!$A$7:$A$45,"shell-universe",Actions!$E$7:$E$45,"Échec")&gt;0,"Échec",IF(COUNTIFS(Actions!$A$7:$A$45,"shell-universe",Actions!$E$7:$E$45,"Bloqués")+COUNTIFS(Actions!$A$7:$A$45,"shell-universe",Actions!$E$7:$E$45,"Partiels")&gt;0,"Partiels",IF(COUNTIFS(Actions!$A$7:$A$45,"shell-universe",Actions!$E$7:$E$45,"Réussis")=E39,"Réussis",IF(COUNTIFS(Actions!$A$7:$A$45,"shell-universe",Actions!$E$7:$E$45,"Réussis")&gt;0,"Partiels",IF(COUNTIFS(Actions!$A$7:$A$45,"shell-universe",Actions!$E$7:$E$45,"Déclarés")&gt;0,"Déclarés","Non réalisés"))))))</x:f>
        <x:v>Réussis</x:v>
      </x:c>
      <x:c r="G39" s="22" t="str">
        <x:f>IF(T39&lt;&gt;"Non réalisé",T39,IF(E39=0,"Non réalisé",IF(COUNTIFS(Actions!$A$7:$A$45,"shell-universe",Actions!$F$7:$F$45,"Échec")&gt;0,"Échec",IF(COUNTIFS(Actions!$A$7:$A$45,"shell-universe",Actions!$F$7:$F$45,"Observé sur branche")=E39,"Observé sur branche",IF(COUNTIFS(Actions!$A$7:$A$45,"shell-universe",Actions!$F$7:$F$45,"Observé sur branche")+COUNTIFS(Actions!$A$7:$A$45,"shell-universe",Actions!$F$7:$F$45,"Partiel")&gt;0,"Partiel","Non réalisé")))))</x:f>
        <x:v>Non réalisé</x:v>
      </x:c>
      <x:c r="H39" s="22" t="str">
        <x:v>La collection du hub rassemble compteurs, franchises et univers. Le dossier dispose déjà d’onglets personnages et menaces, objets, monde vivant conditionnel, missions et arcs, ainsi que précédent et suivant.</x:v>
      </x:c>
      <x:c r="I39" s="22" t="str">
        <x:v>shell-universe — Dossier d’univers étendu au viewport avec lecteur et défilement internes.</x:v>
      </x:c>
      <x:c r="J39" s="22" t="str">
        <x:v>Préserver complétion, listes, navigation entre univers, missions, arcs et détails conditionnels. Le dialogue possède déjà Échap et gestion du focus ; il ne faut pas présenter ces comportements comme absents.</x:v>
      </x:c>
      <x:c r="K39" s="22" t="str">
        <x:v>La fermeture doit retrouver l’univers sélectionné dans la collection. Les onglets doivent conserver leur contenu, les liens de mission doivent viser le bon univers et aucune information ne doit disparaître lors du passage au plein écran.</x:v>
      </x:c>
      <x:c r="L39" s="22" t="str">
        <x:v>Parcours réel Codex/collection à confirmer en preview.</x:v>
      </x:c>
      <x:c r="M39" s="22" t="str">
        <x:v>src/components/UniverseArchiveDialog.jsx
src/components/UniverseArchiveDialog.css</x:v>
      </x:c>
      <x:c r="N39" s="22" t="str">
        <x:v>shell-universe</x:v>
      </x:c>
      <x:c r="O39" s="22" t="str">
        <x:v>src/components/HubScreen.jsx:11470–11630
src/components/HubScreen.jsx:12495–12580
src/components/UniverseArchiveDialog.jsx:37–38</x:v>
      </x:c>
      <x:c r="P39" s="26" t="str">
        <x:f>IFERROR(HYPERLINK("https://github.com/darknigthmare/multiverse-breach/blob/5f44cf344d1a9fbb0dbd7c899510b7dd16cf25d6/src/components/HubScreen.jsx#L11470-L11630","Source de l’audit"),"Source de l’audit")</x:f>
        <x:v>Source de l’audit</x:v>
      </x:c>
      <x:c r="Q39" s="26" t="str">
        <x:f>IFERROR(HYPERLINK("https://github.com/darknigthmare/multiverse-breach/blob/codex/immersive-ui-audit-2026-10-25/src/components/UniverseArchiveDialog.jsx","Réalisation actuelle"),"Réalisation actuelle")</x:f>
        <x:v>Réalisation actuelle</x:v>
      </x:c>
      <x:c r="R39" s="22" t="str">
        <x:v>Faire de la collection un atlas ou une galerie plein viewport, puis ouvrir un dossier d’univers complet avec index et illustration. Garder les onglets existants et réserver la longue lecture à une zone confortable.</x:v>
      </x:c>
      <x:c r="S39" s="22" t="str">
        <x:v>Aucune observation de la nouvelle branche enregistrée.</x:v>
      </x:c>
      <x:c r="T39" s="22" t="str">
        <x:v>Non réalisé</x:v>
      </x:c>
    </x:row>
    <x:row r="40" ht="90" customHeight="1">
      <x:c r="A40" s="25" t="n">
        <x:v>34</x:v>
      </x:c>
      <x:c r="B40" s="21" t="str">
        <x:v>Codex et lore</x:v>
      </x:c>
      <x:c r="C40" s="21" t="str">
        <x:v>P1</x:v>
      </x:c>
      <x:c r="D40" s="21" t="str">
        <x:f>IF(E40=0,"À traiter",IF(COUNTIFS(Actions!$A$7:$A$45,"HUB-01",Actions!$D$7:$D$45,"À préciser")+COUNTIFS(Actions!$A$7:$A$45,"HUB-10",Actions!$D$7:$D$45,"À préciser")&gt;0,"À préciser",IF(COUNTIFS(Actions!$A$7:$A$45,"HUB-01",Actions!$D$7:$D$45,"Partiel")+COUNTIFS(Actions!$A$7:$A$45,"HUB-10",Actions!$D$7:$D$45,"Partiel")+COUNTIFS(Actions!$A$7:$A$45,"HUB-01",Actions!$D$7:$D$45,"À traiter")+COUNTIFS(Actions!$A$7:$A$45,"HUB-10",Actions!$D$7:$D$45,"À traiter")&gt;0,"Partiel",IF(COUNTIFS(Actions!$A$7:$A$45,"HUB-01",Actions!$D$7:$D$45,"Implémenté")+COUNTIFS(Actions!$A$7:$A$45,"HUB-10",Actions!$D$7:$D$45,"Implémenté")&gt;0,"Implémenté","Conservé"))))</x:f>
        <x:v>Implémenté</x:v>
      </x:c>
      <x:c r="E40" s="31" t="n">
        <x:f>COUNTIFS(Actions!$A$7:$A$45,"HUB-01")+COUNTIFS(Actions!$A$7:$A$45,"HUB-10")</x:f>
        <x:v>2</x:v>
      </x:c>
      <x:c r="F40" s="21" t="str">
        <x:f>IF(E40=0,"Non réalisés",IF(COUNTIFS(Actions!$A$7:$A$45,"HUB-01",Actions!$E$7:$E$45,"Échec")+COUNTIFS(Actions!$A$7:$A$45,"HUB-10",Actions!$E$7:$E$45,"Échec")&gt;0,"Échec",IF(COUNTIFS(Actions!$A$7:$A$45,"HUB-01",Actions!$E$7:$E$45,"Bloqués")+COUNTIFS(Actions!$A$7:$A$45,"HUB-10",Actions!$E$7:$E$45,"Bloqués")+COUNTIFS(Actions!$A$7:$A$45,"HUB-01",Actions!$E$7:$E$45,"Partiels")+COUNTIFS(Actions!$A$7:$A$45,"HUB-10",Actions!$E$7:$E$45,"Partiels")&gt;0,"Partiels",IF(COUNTIFS(Actions!$A$7:$A$45,"HUB-01",Actions!$E$7:$E$45,"Réussis")+COUNTIFS(Actions!$A$7:$A$45,"HUB-10",Actions!$E$7:$E$45,"Réussis")=E40,"Réussis",IF(COUNTIFS(Actions!$A$7:$A$45,"HUB-01",Actions!$E$7:$E$45,"Réussis")+COUNTIFS(Actions!$A$7:$A$45,"HUB-10",Actions!$E$7:$E$45,"Réussis")&gt;0,"Partiels",IF(COUNTIFS(Actions!$A$7:$A$45,"HUB-01",Actions!$E$7:$E$45,"Déclarés")+COUNTIFS(Actions!$A$7:$A$45,"HUB-10",Actions!$E$7:$E$45,"Déclarés")&gt;0,"Déclarés","Non réalisés"))))))</x:f>
        <x:v>Réussis</x:v>
      </x:c>
      <x:c r="G40" s="21" t="str">
        <x:f>IF(T40&lt;&gt;"Non réalisé",T40,IF(E40=0,"Non réalisé",IF(COUNTIFS(Actions!$A$7:$A$45,"HUB-01",Actions!$F$7:$F$45,"Échec")+COUNTIFS(Actions!$A$7:$A$45,"HUB-10",Actions!$F$7:$F$45,"Échec")&gt;0,"Échec",IF(COUNTIFS(Actions!$A$7:$A$45,"HUB-01",Actions!$F$7:$F$45,"Observé sur branche")+COUNTIFS(Actions!$A$7:$A$45,"HUB-10",Actions!$F$7:$F$45,"Observé sur branche")=E40,"Observé sur branche",IF(COUNTIFS(Actions!$A$7:$A$45,"HUB-01",Actions!$F$7:$F$45,"Observé sur branche")+COUNTIFS(Actions!$A$7:$A$45,"HUB-10",Actions!$F$7:$F$45,"Observé sur branche")+COUNTIFS(Actions!$A$7:$A$45,"HUB-01",Actions!$F$7:$F$45,"Partiel")+COUNTIFS(Actions!$A$7:$A$45,"HUB-10",Actions!$F$7:$F$45,"Partiel")&gt;0,"Partiel","Non réalisé")))))</x:f>
        <x:v>Non réalisé</x:v>
      </x:c>
      <x:c r="H40" s="21" t="str">
        <x:v>Le Codex est déjà organisé en cinq rubriques : Canon, Univers, Groupes, Personnages et Fusions. Il constitue un espace de consultation dense où la lisibilité doit primer sur la taille des panneaux.</x:v>
      </x:c>
      <x:c r="I40" s="21" t="str">
        <x:v>HUB-01 — Shell de jeu en grille 100dvh : navigation latérale compacte, en-tête de ressources, filtres contextuels et espace principal borné. Navigation mobile sur deux rails horizontaux.
HUB-10 — Équipement : comparaison explicite de chaque bonus de relique, incluant les statistiques perdues en remplaçant l’emplacement. Les deltas sont nommés bonus de relique, sans prétendre être les attributs finaux du combat.</x:v>
      </x:c>
      <x:c r="J40" s="21" t="str">
        <x:v>Conserver les cinq rubriques, tous les textes, la distinction des statuts et les relations entre fiches. Les recherches ou liens existants doivent mener au même contenu.</x:v>
      </x:c>
      <x:c r="K40" s="21" t="str">
        <x:v>Le joueur doit retrouver sa rubrique et sa position après ouverture d’une fiche associée. Les textes doivent être lisibles avec une taille d’interface augmentée, et la navigation clavier ne doit pas traverser le jeu derrière le lecteur.</x:v>
      </x:c>
      <x:c r="L40" s="21" t="str">
        <x:v>Recette visuelle Vercel encore nécessaire, notamment 390px, 1363px et ultralarge.
Les catalogues et cartes existants conservent leur contenu et leur logique ; le travail ne crée pas de nouveaux décors propres à chaque écran secondaire.
La comparaison concerne les bonus additifs du slot relique ; les multiplicateurs de synergie/talent et objets événementiels ne sont pas estimés comme des statistiques finales.
Les actions d’achat et fusion restent celles du jeu ; elles n’ont pas été réécrites.</x:v>
      </x:c>
      <x:c r="M40" s="21" t="str">
        <x:v>src/components/HubScreen.jsx
src/components/HubImmersion.css
src/game/immersiveHubState.js
scripts/immersiveHubState.test.mjs</x:v>
      </x:c>
      <x:c r="N40" s="21" t="str">
        <x:v>HUB-01, HUB-10</x:v>
      </x:c>
      <x:c r="O40" s="21" t="str">
        <x:v>src/components/HubScreen.jsx:12906–13140
src/components/HubScreen.jsx:9334–9350</x:v>
      </x:c>
      <x:c r="P40" s="27" t="str">
        <x:f>IFERROR(HYPERLINK("https://github.com/darknigthmare/multiverse-breach/blob/5f44cf344d1a9fbb0dbd7c899510b7dd16cf25d6/src/components/HubScreen.jsx#L12906-L13140","Source de l’audit"),"Source de l’audit")</x:f>
        <x:v>Source de l’audit</x:v>
      </x:c>
      <x:c r="Q40" s="27" t="str">
        <x:f>IFERROR(HYPERLINK("https://github.com/darknigthmare/multiverse-breach/blob/codex/immersive-ui-audit-2026-10-25/src/components/HubScreen.jsx","Réalisation actuelle"),"Réalisation actuelle")</x:f>
        <x:v>Réalisation actuelle</x:v>
      </x:c>
      <x:c r="R40" s="21" t="str">
        <x:v>Présenter un lecteur diégétique occupant l’écran, avec index à gauche, page principale et liens contextuels. Garder les paragraphes dans une largeur de lecture raisonnable ; le plein écran concerne le support, pas l’étirement de chaque ligne.</x:v>
      </x:c>
      <x:c r="S40" s="21" t="str">
        <x:v>Aucune observation de la nouvelle branche enregistrée.</x:v>
      </x:c>
      <x:c r="T40" s="21" t="str">
        <x:v>Non réalisé</x:v>
      </x:c>
    </x:row>
    <x:row r="41" ht="51" customHeight="1">
      <x:c r="A41" s="24" t="n">
        <x:v>35</x:v>
      </x:c>
      <x:c r="B41" s="22" t="str">
        <x:v>Galerie CG, aperçu et comparaison</x:v>
      </x:c>
      <x:c r="C41" s="22" t="str">
        <x:v>P1</x:v>
      </x:c>
      <x:c r="D41" s="22" t="str">
        <x:f>IF(E41=0,"À traiter",IF(COUNTIFS(Actions!$A$7:$A$45,"shell-cg",Actions!$D$7:$D$45,"À préciser")&gt;0,"À préciser",IF(COUNTIFS(Actions!$A$7:$A$45,"shell-cg",Actions!$D$7:$D$45,"Partiel")+COUNTIFS(Actions!$A$7:$A$45,"shell-cg",Actions!$D$7:$D$45,"À traiter")&gt;0,"Partiel",IF(COUNTIFS(Actions!$A$7:$A$45,"shell-cg",Actions!$D$7:$D$45,"Implémenté")&gt;0,"Implémenté","Conservé"))))</x:f>
        <x:v>Implémenté</x:v>
      </x:c>
      <x:c r="E41" s="30" t="n">
        <x:f>COUNTIFS(Actions!$A$7:$A$45,"shell-cg")</x:f>
        <x:v>1</x:v>
      </x:c>
      <x:c r="F41" s="22" t="str">
        <x:f>IF(E41=0,"Non réalisés",IF(COUNTIFS(Actions!$A$7:$A$45,"shell-cg",Actions!$E$7:$E$45,"Échec")&gt;0,"Échec",IF(COUNTIFS(Actions!$A$7:$A$45,"shell-cg",Actions!$E$7:$E$45,"Bloqués")+COUNTIFS(Actions!$A$7:$A$45,"shell-cg",Actions!$E$7:$E$45,"Partiels")&gt;0,"Partiels",IF(COUNTIFS(Actions!$A$7:$A$45,"shell-cg",Actions!$E$7:$E$45,"Réussis")=E41,"Réussis",IF(COUNTIFS(Actions!$A$7:$A$45,"shell-cg",Actions!$E$7:$E$45,"Réussis")&gt;0,"Partiels",IF(COUNTIFS(Actions!$A$7:$A$45,"shell-cg",Actions!$E$7:$E$45,"Déclarés")&gt;0,"Déclarés","Non réalisés"))))))</x:f>
        <x:v>Réussis</x:v>
      </x:c>
      <x:c r="G41" s="22" t="str">
        <x:f>IF(T41&lt;&gt;"Non réalisé",T41,IF(E41=0,"Non réalisé",IF(COUNTIFS(Actions!$A$7:$A$45,"shell-cg",Actions!$F$7:$F$45,"Échec")&gt;0,"Échec",IF(COUNTIFS(Actions!$A$7:$A$45,"shell-cg",Actions!$F$7:$F$45,"Observé sur branche")=E41,"Observé sur branche",IF(COUNTIFS(Actions!$A$7:$A$45,"shell-cg",Actions!$F$7:$F$45,"Observé sur branche")+COUNTIFS(Actions!$A$7:$A$45,"shell-cg",Actions!$F$7:$F$45,"Partiel")&gt;0,"Partiel","Non réalisé")))))</x:f>
        <x:v>Non réalisé</x:v>
      </x:c>
      <x:c r="H41" s="22" t="str">
        <x:v>La galerie comporte déjà quatre familles, des filtres, favoris, zoom, comparaison et bouton plein écran. Les informations de provenance et de production occupent également une place importante dans la fiche.</x:v>
      </x:c>
      <x:c r="I41" s="22" t="str">
        <x:v>shell-cg — Image principale immédiatement visible avec bande de vignettes et filtres repliables.</x:v>
      </x:c>
      <x:c r="J41" s="22" t="str">
        <x:v>Préserver Canon, Nexus, Fan Art, What If, les cinq filtres, favoris, zoom, comparaison et plein écran existants. Une image peut rester centrée et conserver son ratio naturel.</x:v>
      </x:c>
      <x:c r="K41" s="22" t="str">
        <x:v>Zoom et comparaison ne doivent pas recadrer involontairement une partie de l’image. Fermer l’aperçu doit retrouver la vignette et les filtres, et l’ensemble des crédits doit rester consultable.</x:v>
      </x:c>
      <x:c r="L41" s="22" t="str">
        <x:v>Pan/zoom, comparaison et fullscreen à vérifier dans un navigateur.
La galerie conserve un défilement interne sur très faible hauteur pour préserver l’accès aux commandes.</x:v>
      </x:c>
      <x:c r="M41" s="22" t="str">
        <x:v>src/components/cg/CgGallery.jsx
src/components/cg/cgImmersion.css</x:v>
      </x:c>
      <x:c r="N41" s="22" t="str">
        <x:v>shell-cg</x:v>
      </x:c>
      <x:c r="O41" s="22" t="str">
        <x:v>src/components/cg/CgGallery.jsx:300–597
src/components/cg/CgGallery.jsx:549–585</x:v>
      </x:c>
      <x:c r="P41" s="26" t="str">
        <x:f>IFERROR(HYPERLINK("https://github.com/darknigthmare/multiverse-breach/blob/5f44cf344d1a9fbb0dbd7c899510b7dd16cf25d6/src/components/cg/CgGallery.jsx#L300-L597","Source de l’audit"),"Source de l’audit")</x:f>
        <x:v>Source de l’audit</x:v>
      </x:c>
      <x:c r="Q41" s="26" t="str">
        <x:f>IFERROR(HYPERLINK("https://github.com/darknigthmare/multiverse-breach/blob/codex/immersive-ui-audit-2026-10-25/src/components/cg/CgGallery.jsx","Réalisation actuelle"),"Réalisation actuelle")</x:f>
        <x:v>Réalisation actuelle</x:v>
      </x:c>
      <x:c r="R41" s="22" t="str">
        <x:v>Faire de l’image l’écran principal, avec bande de vignettes et filtres ouvrables. Regrouper prompt, continuité, dates, crédits et références dans Détails ou Crédits ; conserver les indications nécessaires à la compréhension du contenu.</x:v>
      </x:c>
      <x:c r="S41" s="22" t="str">
        <x:v>Aucune observation de la nouvelle branche enregistrée.</x:v>
      </x:c>
      <x:c r="T41" s="22" t="str">
        <x:v>Non réalisé</x:v>
      </x:c>
    </x:row>
    <x:row r="42" ht="90" customHeight="1">
      <x:c r="A42" s="25" t="n">
        <x:v>36</x:v>
      </x:c>
      <x:c r="B42" s="21" t="str">
        <x:v>Portail : catalogue, rotation et dossier booster</x:v>
      </x:c>
      <x:c r="C42" s="21" t="str">
        <x:v>P1</x:v>
      </x:c>
      <x:c r="D42" s="21" t="str">
        <x:f>IF(E42=0,"À traiter",IF(COUNTIFS(Actions!$A$7:$A$45,"shell-portal",Actions!$D$7:$D$45,"À préciser")&gt;0,"À préciser",IF(COUNTIFS(Actions!$A$7:$A$45,"shell-portal",Actions!$D$7:$D$45,"Partiel")+COUNTIFS(Actions!$A$7:$A$45,"shell-portal",Actions!$D$7:$D$45,"À traiter")&gt;0,"Partiel",IF(COUNTIFS(Actions!$A$7:$A$45,"shell-portal",Actions!$D$7:$D$45,"Implémenté")&gt;0,"Implémenté","Conservé"))))</x:f>
        <x:v>Implémenté</x:v>
      </x:c>
      <x:c r="E42" s="31" t="n">
        <x:f>COUNTIFS(Actions!$A$7:$A$45,"shell-portal")</x:f>
        <x:v>1</x:v>
      </x:c>
      <x:c r="F42" s="21" t="str">
        <x:f>IF(E42=0,"Non réalisés",IF(COUNTIFS(Actions!$A$7:$A$45,"shell-portal",Actions!$E$7:$E$45,"Échec")&gt;0,"Échec",IF(COUNTIFS(Actions!$A$7:$A$45,"shell-portal",Actions!$E$7:$E$45,"Bloqués")+COUNTIFS(Actions!$A$7:$A$45,"shell-portal",Actions!$E$7:$E$45,"Partiels")&gt;0,"Partiels",IF(COUNTIFS(Actions!$A$7:$A$45,"shell-portal",Actions!$E$7:$E$45,"Réussis")=E42,"Réussis",IF(COUNTIFS(Actions!$A$7:$A$45,"shell-portal",Actions!$E$7:$E$45,"Réussis")&gt;0,"Partiels",IF(COUNTIFS(Actions!$A$7:$A$45,"shell-portal",Actions!$E$7:$E$45,"Déclarés")&gt;0,"Déclarés","Non réalisés"))))))</x:f>
        <x:v>Réussis</x:v>
      </x:c>
      <x:c r="G42" s="21" t="str">
        <x:f>IF(T42&lt;&gt;"Non réalisé",T42,IF(E42=0,"Non réalisé",IF(COUNTIFS(Actions!$A$7:$A$45,"shell-portal",Actions!$F$7:$F$45,"Échec")&gt;0,"Échec",IF(COUNTIFS(Actions!$A$7:$A$45,"shell-portal",Actions!$F$7:$F$45,"Observé sur branche")=E42,"Observé sur branche",IF(COUNTIFS(Actions!$A$7:$A$45,"shell-portal",Actions!$F$7:$F$45,"Observé sur branche")+COUNTIFS(Actions!$A$7:$A$45,"shell-portal",Actions!$F$7:$F$45,"Partiel")&gt;0,"Partiel","Non réalisé")))))</x:f>
        <x:v>Non réalisé</x:v>
      </x:c>
      <x:c r="H42" s="21" t="str">
        <x:v>Le portail V2 empile commandes, titre, recherche, rotation, catalogue, dossier actif et scène. Le dossier complet existe déjà avec prix, probabilités, garanties, recherche, pagination et sélection sans achat.</x:v>
      </x:c>
      <x:c r="I42" s="21" t="str">
        <x:v>shell-portal — Le booster sélectionné devient la scène principale du viewport.</x:v>
      </x:c>
      <x:c r="J42" s="21" t="str">
        <x:v>Conserver groupes OC et franchises, recherche, renouvellement payant sécurisé, disponibilité, contenus, taux et garanties. Le dossier possède déjà focus trap et défilement interne ; préserver cette base.</x:v>
      </x:c>
      <x:c r="K42" s="21" t="str">
        <x:v>Sélectionner, consulter une illustration et ouvrir doivent rester trois actions distinctes. Toute modification de rotation conserve sa confirmation, et le retour d’un dossier doit restituer le pack et la position du catalogue.</x:v>
      </x:c>
      <x:c r="L42" s="21" t="str">
        <x:v>Ouverture réelle et catalogue dense à valider dans la preview de la branche.</x:v>
      </x:c>
      <x:c r="M42" s="21" t="str">
        <x:v>src/components/PortalScreen.jsx
src/components/PortalImmersion.css
src/components/PortalBoosterDossier.jsx
src/components/collection/ArchiveDrawer.jsx</x:v>
      </x:c>
      <x:c r="N42" s="21" t="str">
        <x:v>shell-portal</x:v>
      </x:c>
      <x:c r="O42" s="21" t="str">
        <x:v>src/components/PortalScreen.jsx:1680–1930
src/components/PortalBoosterDossier.jsx:44–77
src/components/PortalBoosterDossier.jsx:109–144
src/index.css:9001–9018
src/index.css:9162–9171
src/index.css:9339–9344</x:v>
      </x:c>
      <x:c r="P42" s="27" t="str">
        <x:f>IFERROR(HYPERLINK("https://github.com/darknigthmare/multiverse-breach/blob/5f44cf344d1a9fbb0dbd7c899510b7dd16cf25d6/src/components/PortalScreen.jsx#L1680-L1930","Source de l’audit"),"Source de l’audit")</x:f>
        <x:v>Source de l’audit</x:v>
      </x:c>
      <x:c r="Q42" s="27" t="str">
        <x:f>IFERROR(HYPERLINK("https://github.com/darknigthmare/multiverse-breach/blob/codex/immersive-ui-audit-2026-10-25/src/components/PortalScreen.jsx","Réalisation actuelle"),"Réalisation actuelle")</x:f>
        <x:v>Réalisation actuelle</x:v>
      </x:c>
      <x:c r="R42" s="21" t="str">
        <x:v>Présenter une salle de portail plein viewport, un rail de sélection et une scène dominante. Ouvrir catalogue exhaustif, rotation et dossier dans des panneaux dédiés ; garder coût, solde et action visibles avant toute ouverture.</x:v>
      </x:c>
      <x:c r="S42" s="21" t="str">
        <x:v>Aucune observation de la nouvelle branche enregistrée.</x:v>
      </x:c>
      <x:c r="T42" s="21" t="str">
        <x:v>Non réalisé</x:v>
      </x:c>
    </x:row>
    <x:row r="43" ht="77" customHeight="1">
      <x:c r="A43" s="24" t="n">
        <x:v>37</x:v>
      </x:c>
      <x:c r="B43" s="22" t="str">
        <x:v>Portail : ouverture et révélation des cartes</x:v>
      </x:c>
      <x:c r="C43" s="22" t="str">
        <x:v>P1</x:v>
      </x:c>
      <x:c r="D43" s="22" t="str">
        <x:f>IF(E43=0,"À traiter",IF(COUNTIFS(Actions!$A$7:$A$45,"shell-reveal",Actions!$D$7:$D$45,"À préciser")&gt;0,"À préciser",IF(COUNTIFS(Actions!$A$7:$A$45,"shell-reveal",Actions!$D$7:$D$45,"Partiel")+COUNTIFS(Actions!$A$7:$A$45,"shell-reveal",Actions!$D$7:$D$45,"À traiter")&gt;0,"Partiel",IF(COUNTIFS(Actions!$A$7:$A$45,"shell-reveal",Actions!$D$7:$D$45,"Implémenté")&gt;0,"Implémenté","Conservé"))))</x:f>
        <x:v>Implémenté</x:v>
      </x:c>
      <x:c r="E43" s="30" t="n">
        <x:f>COUNTIFS(Actions!$A$7:$A$45,"shell-reveal")</x:f>
        <x:v>1</x:v>
      </x:c>
      <x:c r="F43" s="22" t="str">
        <x:f>IF(E43=0,"Non réalisés",IF(COUNTIFS(Actions!$A$7:$A$45,"shell-reveal",Actions!$E$7:$E$45,"Échec")&gt;0,"Échec",IF(COUNTIFS(Actions!$A$7:$A$45,"shell-reveal",Actions!$E$7:$E$45,"Bloqués")+COUNTIFS(Actions!$A$7:$A$45,"shell-reveal",Actions!$E$7:$E$45,"Partiels")&gt;0,"Partiels",IF(COUNTIFS(Actions!$A$7:$A$45,"shell-reveal",Actions!$E$7:$E$45,"Réussis")=E43,"Réussis",IF(COUNTIFS(Actions!$A$7:$A$45,"shell-reveal",Actions!$E$7:$E$45,"Réussis")&gt;0,"Partiels",IF(COUNTIFS(Actions!$A$7:$A$45,"shell-reveal",Actions!$E$7:$E$45,"Déclarés")&gt;0,"Déclarés","Non réalisés"))))))</x:f>
        <x:v>Réussis</x:v>
      </x:c>
      <x:c r="G43" s="22" t="str">
        <x:f>IF(T43&lt;&gt;"Non réalisé",T43,IF(E43=0,"Non réalisé",IF(COUNTIFS(Actions!$A$7:$A$45,"shell-reveal",Actions!$F$7:$F$45,"Échec")&gt;0,"Échec",IF(COUNTIFS(Actions!$A$7:$A$45,"shell-reveal",Actions!$F$7:$F$45,"Observé sur branche")=E43,"Observé sur branche",IF(COUNTIFS(Actions!$A$7:$A$45,"shell-reveal",Actions!$F$7:$F$45,"Observé sur branche")+COUNTIFS(Actions!$A$7:$A$45,"shell-reveal",Actions!$F$7:$F$45,"Partiel")&gt;0,"Partiel","Non réalisé")))))</x:f>
        <x:v>Non réalisé</x:v>
      </x:c>
      <x:c r="H43" s="22" t="str">
        <x:v>Le système actuel ouvre des boosters de cinq cartes, avec phases d’animation, révélation individuelle, Tout révéler et bouton suivant. Des gardes empêchent certaines actions concurrentes et des statuts sont annoncés.</x:v>
      </x:c>
      <x:c r="I43" s="22" t="str">
        <x:v>shell-reveal — Révélation conservée avec exactement cinq cartes, retournement individuel, Tout révéler et Booster suivant.</x:v>
      </x:c>
      <x:c r="J43" s="22" t="str">
        <x:v>Conserver nombre de cartes, garanties, doublons, remboursements, crédits gratuits, nettoyage des timers et protections contre les doubles actions. Ne pas réintroduire l’ancien système x1/x10 des pièces jointes.</x:v>
      </x:c>
      <x:c r="K43" s="22" t="str">
        <x:v>Passer visuellement, révéler rapidement ou revenir au catalogue ne doit jamais changer le tirage ni facturer deux fois. Chaque carte obtenue doit être retrouvable dans l’album, avec le même remboursement et la même provenance.</x:v>
      </x:c>
      <x:c r="L43" s="22" t="str">
        <x:v>Pas de preuve navigateur d’un achat puis révélation complète sur la nouvelle branche.</x:v>
      </x:c>
      <x:c r="M43" s="22" t="str">
        <x:v>src/components/PortalScreen.jsx
src/components/PortalImmersion.css</x:v>
      </x:c>
      <x:c r="N43" s="22" t="str">
        <x:v>shell-reveal</x:v>
      </x:c>
      <x:c r="O43" s="22" t="str">
        <x:v>src/components/PortalScreen.jsx:1393–1482
src/components/PortalScreen.jsx:1710–1718
src/components/PortalScreen.jsx:2086–2141
src/index.css:9521–9527
src/index.css:10375–10376</x:v>
      </x:c>
      <x:c r="P43" s="26" t="str">
        <x:f>IFERROR(HYPERLINK("https://github.com/darknigthmare/multiverse-breach/blob/5f44cf344d1a9fbb0dbd7c899510b7dd16cf25d6/src/components/PortalScreen.jsx#L1393-L1482","Source de l’audit"),"Source de l’audit")</x:f>
        <x:v>Source de l’audit</x:v>
      </x:c>
      <x:c r="Q43" s="26" t="str">
        <x:f>IFERROR(HYPERLINK("https://github.com/darknigthmare/multiverse-breach/blob/codex/immersive-ui-audit-2026-10-25/src/components/PortalScreen.jsx","Réalisation actuelle"),"Réalisation actuelle")</x:f>
        <x:v>Réalisation actuelle</x:v>
      </x:c>
      <x:c r="R43" s="22" t="str">
        <x:v>Utiliser toute la salle pour la séquence, montrer les cartes et leur statut en grand, puis ouvrir la fiche choisie. Les commandes de révélation doivent rester accessibles sans descendre sous la scène.</x:v>
      </x:c>
      <x:c r="S43" s="22" t="str">
        <x:v>Aucune observation de la nouvelle branche enregistrée.</x:v>
      </x:c>
      <x:c r="T43" s="22" t="str">
        <x:v>Non réalisé</x:v>
      </x:c>
    </x:row>
    <x:row r="44" ht="116" customHeight="1">
      <x:c r="A44" s="25" t="n">
        <x:v>38</x:v>
      </x:c>
      <x:c r="B44" s="21" t="str">
        <x:v>Album : bibliothèque, classeur, historique et fiche carte</x:v>
      </x:c>
      <x:c r="C44" s="21" t="str">
        <x:v>P1</x:v>
      </x:c>
      <x:c r="D44" s="21" t="str">
        <x:f>IF(E44=0,"À traiter",IF(COUNTIFS(Actions!$A$7:$A$45,"shell-album",Actions!$D$7:$D$45,"À préciser")&gt;0,"À préciser",IF(COUNTIFS(Actions!$A$7:$A$45,"shell-album",Actions!$D$7:$D$45,"Partiel")+COUNTIFS(Actions!$A$7:$A$45,"shell-album",Actions!$D$7:$D$45,"À traiter")&gt;0,"Partiel",IF(COUNTIFS(Actions!$A$7:$A$45,"shell-album",Actions!$D$7:$D$45,"Implémenté")&gt;0,"Implémenté","Conservé"))))</x:f>
        <x:v>Implémenté</x:v>
      </x:c>
      <x:c r="E44" s="31" t="n">
        <x:f>COUNTIFS(Actions!$A$7:$A$45,"shell-album")</x:f>
        <x:v>1</x:v>
      </x:c>
      <x:c r="F44" s="21" t="str">
        <x:f>IF(E44=0,"Non réalisés",IF(COUNTIFS(Actions!$A$7:$A$45,"shell-album",Actions!$E$7:$E$45,"Échec")&gt;0,"Échec",IF(COUNTIFS(Actions!$A$7:$A$45,"shell-album",Actions!$E$7:$E$45,"Bloqués")+COUNTIFS(Actions!$A$7:$A$45,"shell-album",Actions!$E$7:$E$45,"Partiels")&gt;0,"Partiels",IF(COUNTIFS(Actions!$A$7:$A$45,"shell-album",Actions!$E$7:$E$45,"Réussis")=E44,"Réussis",IF(COUNTIFS(Actions!$A$7:$A$45,"shell-album",Actions!$E$7:$E$45,"Réussis")&gt;0,"Partiels",IF(COUNTIFS(Actions!$A$7:$A$45,"shell-album",Actions!$E$7:$E$45,"Déclarés")&gt;0,"Déclarés","Non réalisés"))))))</x:f>
        <x:v>Réussis</x:v>
      </x:c>
      <x:c r="G44" s="21" t="str">
        <x:f>IF(T44&lt;&gt;"Non réalisé",T44,IF(E44=0,"Non réalisé",IF(COUNTIFS(Actions!$A$7:$A$45,"shell-album",Actions!$F$7:$F$45,"Échec")&gt;0,"Échec",IF(COUNTIFS(Actions!$A$7:$A$45,"shell-album",Actions!$F$7:$F$45,"Observé sur branche")=E44,"Observé sur branche",IF(COUNTIFS(Actions!$A$7:$A$45,"shell-album",Actions!$F$7:$F$45,"Observé sur branche")+COUNTIFS(Actions!$A$7:$A$45,"shell-album",Actions!$F$7:$F$45,"Partiel")&gt;0,"Partiel","Non réalisé")))))</x:f>
        <x:v>Non réalisé</x:v>
      </x:c>
      <x:c r="H44" s="21" t="str">
        <x:v>L’album conserve une feuille centrée avec défilement global. Bibliothèque, Classeur et Historique existent, avec filtres, paliers, pagination et fiches. Certains filtres restent visibles hors du classeur auquel ils s’appliquent ; leur portée doit être explicite.</x:v>
      </x:c>
      <x:c r="I44" s="21" t="str">
        <x:v>shell-album — Album plein viewport, en-tête et navigation persistants, contenu interne défilant.</x:v>
      </x:c>
      <x:c r="J44" s="21" t="str">
        <x:v>Préserver cartes, maîtrise, finitions, favoris, paliers, historique des cent entrées et critères de canon. Une fiche centrée reste pertinente ; les visuels provisoires doivent rester identifiés honnêtement.</x:v>
      </x:c>
      <x:c r="K44" s="21" t="str">
        <x:v>Chaque filtre visible doit agir sur la vue affichée ou annoncer sa portée. Fermer une fiche doit retrouver sélection et page, sans fuite de focus vers le portail situé derrière.</x:v>
      </x:c>
      <x:c r="L44" s="21" t="str">
        <x:v>Collection de taille réelle et lecteurs d’écran à confirmer en navigateur.
La pose réutilise la grille source déclarée ; aucune nouvelle illustration n’est générée.</x:v>
      </x:c>
      <x:c r="M44" s="21" t="str">
        <x:v>src/components/collection/CollectionHome.jsx
src/components/collection/UniverseBinder.jsx
src/components/collection/CardDetailModal.jsx
src/components/collection/CardSignatureDetails.jsx
src/components/collection/collectionView.js
src/components/collection/collectionImmersion.css
src/components/cards/CollectibleCard.jsx
src/components/cards/cardArtPresentation.js</x:v>
      </x:c>
      <x:c r="N44" s="21" t="str">
        <x:v>shell-album</x:v>
      </x:c>
      <x:c r="O44" s="21" t="str">
        <x:v>src/components/collection/CollectionHome.jsx:45–57
src/components/collection/CollectionHome.jsx:169–319
src/components/collection/UniverseBinder.jsx:19–84
src/components/collection/CardDetailModal.jsx:17–84
src/components/collection/collection.css:1–24</x:v>
      </x:c>
      <x:c r="P44" s="27" t="str">
        <x:f>IFERROR(HYPERLINK("https://github.com/darknigthmare/multiverse-breach/blob/5f44cf344d1a9fbb0dbd7c899510b7dd16cf25d6/src/components/collection/CollectionHome.jsx#L45-L57","Source de l’audit"),"Source de l’audit")</x:f>
        <x:v>Source de l’audit</x:v>
      </x:c>
      <x:c r="Q44" s="27" t="str">
        <x:f>IFERROR(HYPERLINK("https://github.com/darknigthmare/multiverse-breach/blob/codex/immersive-ui-audit-2026-10-25/src/components/collection/CollectionHome.jsx","Réalisation actuelle"),"Réalisation actuelle")</x:f>
        <x:v>Réalisation actuelle</x:v>
      </x:c>
      <x:c r="R44" s="21" t="str">
        <x:v>Fixer navigation et actions, faire défiler seulement la collection et annoncer la portée des filtres. Donner à chaque carte une pose ou illustration principale ; garder planches, provenance et statut provisoire dans les détails.</x:v>
      </x:c>
      <x:c r="S44" s="21" t="str">
        <x:v>Aucune observation de la nouvelle branche enregistrée.</x:v>
      </x:c>
      <x:c r="T44" s="21" t="str">
        <x:v>Non réalisé</x:v>
      </x:c>
    </x:row>
    <x:row r="45" ht="90" customHeight="1">
      <x:c r="A45" s="24" t="n">
        <x:v>39</x:v>
      </x:c>
      <x:c r="B45" s="22" t="str">
        <x:v>Régulation, Portal Lab et inspecteurs</x:v>
      </x:c>
      <x:c r="C45" s="22" t="str">
        <x:v>P2</x:v>
      </x:c>
      <x:c r="D45" s="22" t="str">
        <x:f>IF(E45=0,"À traiter",IF(COUNTIFS(Actions!$A$7:$A$45,"shell-advanced",Actions!$D$7:$D$45,"À préciser")+COUNTIFS(Actions!$A$7:$A$45,"HUB-01",Actions!$D$7:$D$45,"À préciser")&gt;0,"À préciser",IF(COUNTIFS(Actions!$A$7:$A$45,"shell-advanced",Actions!$D$7:$D$45,"Partiel")+COUNTIFS(Actions!$A$7:$A$45,"HUB-01",Actions!$D$7:$D$45,"Partiel")+COUNTIFS(Actions!$A$7:$A$45,"shell-advanced",Actions!$D$7:$D$45,"À traiter")+COUNTIFS(Actions!$A$7:$A$45,"HUB-01",Actions!$D$7:$D$45,"À traiter")&gt;0,"Partiel",IF(COUNTIFS(Actions!$A$7:$A$45,"shell-advanced",Actions!$D$7:$D$45,"Implémenté")+COUNTIFS(Actions!$A$7:$A$45,"HUB-01",Actions!$D$7:$D$45,"Implémenté")&gt;0,"Implémenté","Conservé"))))</x:f>
        <x:v>Implémenté</x:v>
      </x:c>
      <x:c r="E45" s="30" t="n">
        <x:f>COUNTIFS(Actions!$A$7:$A$45,"shell-advanced")+COUNTIFS(Actions!$A$7:$A$45,"HUB-01")</x:f>
        <x:v>2</x:v>
      </x:c>
      <x:c r="F45" s="22" t="str">
        <x:f>IF(E45=0,"Non réalisés",IF(COUNTIFS(Actions!$A$7:$A$45,"shell-advanced",Actions!$E$7:$E$45,"Échec")+COUNTIFS(Actions!$A$7:$A$45,"HUB-01",Actions!$E$7:$E$45,"Échec")&gt;0,"Échec",IF(COUNTIFS(Actions!$A$7:$A$45,"shell-advanced",Actions!$E$7:$E$45,"Bloqués")+COUNTIFS(Actions!$A$7:$A$45,"HUB-01",Actions!$E$7:$E$45,"Bloqués")+COUNTIFS(Actions!$A$7:$A$45,"shell-advanced",Actions!$E$7:$E$45,"Partiels")+COUNTIFS(Actions!$A$7:$A$45,"HUB-01",Actions!$E$7:$E$45,"Partiels")&gt;0,"Partiels",IF(COUNTIFS(Actions!$A$7:$A$45,"shell-advanced",Actions!$E$7:$E$45,"Réussis")+COUNTIFS(Actions!$A$7:$A$45,"HUB-01",Actions!$E$7:$E$45,"Réussis")=E45,"Réussis",IF(COUNTIFS(Actions!$A$7:$A$45,"shell-advanced",Actions!$E$7:$E$45,"Réussis")+COUNTIFS(Actions!$A$7:$A$45,"HUB-01",Actions!$E$7:$E$45,"Réussis")&gt;0,"Partiels",IF(COUNTIFS(Actions!$A$7:$A$45,"shell-advanced",Actions!$E$7:$E$45,"Déclarés")+COUNTIFS(Actions!$A$7:$A$45,"HUB-01",Actions!$E$7:$E$45,"Déclarés")&gt;0,"Déclarés","Non réalisés"))))))</x:f>
        <x:v>Partiels</x:v>
      </x:c>
      <x:c r="G45" s="22" t="str">
        <x:f>IF(T45&lt;&gt;"Non réalisé",T45,IF(E45=0,"Non réalisé",IF(COUNTIFS(Actions!$A$7:$A$45,"shell-advanced",Actions!$F$7:$F$45,"Échec")+COUNTIFS(Actions!$A$7:$A$45,"HUB-01",Actions!$F$7:$F$45,"Échec")&gt;0,"Échec",IF(COUNTIFS(Actions!$A$7:$A$45,"shell-advanced",Actions!$F$7:$F$45,"Observé sur branche")+COUNTIFS(Actions!$A$7:$A$45,"HUB-01",Actions!$F$7:$F$45,"Observé sur branche")=E45,"Observé sur branche",IF(COUNTIFS(Actions!$A$7:$A$45,"shell-advanced",Actions!$F$7:$F$45,"Observé sur branche")+COUNTIFS(Actions!$A$7:$A$45,"HUB-01",Actions!$F$7:$F$45,"Observé sur branche")+COUNTIFS(Actions!$A$7:$A$45,"shell-advanced",Actions!$F$7:$F$45,"Partiel")+COUNTIFS(Actions!$A$7:$A$45,"HUB-01",Actions!$F$7:$F$45,"Partiel")&gt;0,"Partiel","Non réalisé")))))</x:f>
        <x:v>Non réalisé</x:v>
      </x:c>
      <x:c r="H45" s="22" t="str">
        <x:v>La Régulation rassemble des outils de contenu et des inspecteurs accessibles. Portal Lab P3 reste un bouton direct de la boutique. Certains contenus legacy subsistent dans des branches dont l’accès n’est pas établi.</x:v>
      </x:c>
      <x:c r="I45" s="22" t="str">
        <x:v>shell-advanced — Portal Lab déplacé dans Menu &gt; Outils avancés.
HUB-01 — Shell de jeu en grille 100dvh : navigation latérale compacte, en-tête de ressources, filtres contextuels et espace principal borné. Navigation mobile sur deux rails horizontaux.</x:v>
      </x:c>
      <x:c r="J45" s="22" t="str">
        <x:v>Conserver activation de contenus, inspecteurs, prévisualisations, diagnostics et fonctions de suivi. Les previews peuvent rester centrées ; les informations de provenance ou de validation doivent demeurer disponibles.</x:v>
      </x:c>
      <x:c r="K45" s="22" t="str">
        <x:v>Aucune fonction ne doit devenir inaccessible après rangement. Chaque outil doit avoir une destination documentée, les données non validées restent signalées et une inspection ne doit pas modifier involontairement la progression.</x:v>
      </x:c>
      <x:c r="L45" s="22" t="str">
        <x:v>La rubrique Régulation du hub appartient au lot Hub.
Recette visuelle Vercel encore nécessaire, notamment 390px, 1363px et ultralarge.
Les catalogues et cartes existants conservent leur contenu et leur logique ; le travail ne crée pas de nouveaux décors propres à chaque écran secondaire.</x:v>
      </x:c>
      <x:c r="M45" s="22" t="str">
        <x:v>src/components/PortalScreen.jsx
src/components/PortalImmersion.css
src/components/HubScreen.jsx
src/components/HubImmersion.css</x:v>
      </x:c>
      <x:c r="N45" s="22" t="str">
        <x:v>shell-advanced, HUB-01</x:v>
      </x:c>
      <x:c r="O45" s="22" t="str">
        <x:v>src/components/HubScreen.jsx:12162–12494
src/components/HubScreen.jsx:9842–9842
src/components/HubScreen.jsx:9928–9928
src/components/HubScreen.jsx:10008–10008
src/components/HubScreen.jsx:10213–10213
src/components/PortalScreen.jsx:1734–1744</x:v>
      </x:c>
      <x:c r="P45" s="26" t="str">
        <x:f>IFERROR(HYPERLINK("https://github.com/darknigthmare/multiverse-breach/blob/5f44cf344d1a9fbb0dbd7c899510b7dd16cf25d6/src/components/HubScreen.jsx#L12162-L12494","Source de l’audit"),"Source de l’audit")</x:f>
        <x:v>Source de l’audit</x:v>
      </x:c>
      <x:c r="Q45" s="26" t="str">
        <x:f>IFERROR(HYPERLINK("https://github.com/darknigthmare/multiverse-breach/blob/codex/immersive-ui-audit-2026-10-25/src/components/PortalScreen.jsx","Réalisation actuelle"),"Réalisation actuelle")</x:f>
        <x:v>Réalisation actuelle</x:v>
      </x:c>
      <x:c r="R45" s="22" t="str">
        <x:v>Réunir les outils techniques dans une rubrique avancée avec retour cohérent, sans leur imposer une fausse fonction narrative. Vérifier la destination des contenus legacy avant toute refonte ou suppression de blocs.</x:v>
      </x:c>
      <x:c r="S45" s="22" t="str">
        <x:v>Aucune observation de la nouvelle branche enregistrée.</x:v>
      </x:c>
      <x:c r="T45" s="22" t="str">
        <x:v>Non réalisé</x:v>
      </x:c>
    </x:row>
    <x:row r="46" ht="77" customHeight="1">
      <x:c r="A46" s="25" t="n">
        <x:v>40</x:v>
      </x:c>
      <x:c r="B46" s="21" t="str">
        <x:v>Chargement, erreurs et récupération</x:v>
      </x:c>
      <x:c r="C46" s="21" t="str">
        <x:v>P1</x:v>
      </x:c>
      <x:c r="D46" s="21" t="str">
        <x:f>IF(E46=0,"À traiter",IF(COUNTIFS(Actions!$A$7:$A$45,"COMBAT-07",Actions!$D$7:$D$45,"À préciser")+COUNTIFS(Actions!$A$7:$A$45,"APP-07",Actions!$D$7:$D$45,"À préciser")&gt;0,"À préciser",IF(COUNTIFS(Actions!$A$7:$A$45,"COMBAT-07",Actions!$D$7:$D$45,"Partiel")+COUNTIFS(Actions!$A$7:$A$45,"APP-07",Actions!$D$7:$D$45,"Partiel")+COUNTIFS(Actions!$A$7:$A$45,"COMBAT-07",Actions!$D$7:$D$45,"À traiter")+COUNTIFS(Actions!$A$7:$A$45,"APP-07",Actions!$D$7:$D$45,"À traiter")&gt;0,"Partiel",IF(COUNTIFS(Actions!$A$7:$A$45,"COMBAT-07",Actions!$D$7:$D$45,"Implémenté")+COUNTIFS(Actions!$A$7:$A$45,"APP-07",Actions!$D$7:$D$45,"Implémenté")&gt;0,"Implémenté","Conservé"))))</x:f>
        <x:v>Implémenté</x:v>
      </x:c>
      <x:c r="E46" s="31" t="n">
        <x:f>COUNTIFS(Actions!$A$7:$A$45,"COMBAT-07")+COUNTIFS(Actions!$A$7:$A$45,"APP-07")</x:f>
        <x:v>2</x:v>
      </x:c>
      <x:c r="F46" s="21" t="str">
        <x:f>IF(E46=0,"Non réalisés",IF(COUNTIFS(Actions!$A$7:$A$45,"COMBAT-07",Actions!$E$7:$E$45,"Échec")+COUNTIFS(Actions!$A$7:$A$45,"APP-07",Actions!$E$7:$E$45,"Échec")&gt;0,"Échec",IF(COUNTIFS(Actions!$A$7:$A$45,"COMBAT-07",Actions!$E$7:$E$45,"Bloqués")+COUNTIFS(Actions!$A$7:$A$45,"APP-07",Actions!$E$7:$E$45,"Bloqués")+COUNTIFS(Actions!$A$7:$A$45,"COMBAT-07",Actions!$E$7:$E$45,"Partiels")+COUNTIFS(Actions!$A$7:$A$45,"APP-07",Actions!$E$7:$E$45,"Partiels")&gt;0,"Partiels",IF(COUNTIFS(Actions!$A$7:$A$45,"COMBAT-07",Actions!$E$7:$E$45,"Réussis")+COUNTIFS(Actions!$A$7:$A$45,"APP-07",Actions!$E$7:$E$45,"Réussis")=E46,"Réussis",IF(COUNTIFS(Actions!$A$7:$A$45,"COMBAT-07",Actions!$E$7:$E$45,"Réussis")+COUNTIFS(Actions!$A$7:$A$45,"APP-07",Actions!$E$7:$E$45,"Réussis")&gt;0,"Partiels",IF(COUNTIFS(Actions!$A$7:$A$45,"COMBAT-07",Actions!$E$7:$E$45,"Déclarés")+COUNTIFS(Actions!$A$7:$A$45,"APP-07",Actions!$E$7:$E$45,"Déclarés")&gt;0,"Déclarés","Non réalisés"))))))</x:f>
        <x:v>Partiels</x:v>
      </x:c>
      <x:c r="G46" s="21" t="str">
        <x:f>IF(T46&lt;&gt;"Non réalisé",T46,IF(E46=0,"Non réalisé",IF(COUNTIFS(Actions!$A$7:$A$45,"COMBAT-07",Actions!$F$7:$F$45,"Échec")+COUNTIFS(Actions!$A$7:$A$45,"APP-07",Actions!$F$7:$F$45,"Échec")&gt;0,"Échec",IF(COUNTIFS(Actions!$A$7:$A$45,"COMBAT-07",Actions!$F$7:$F$45,"Observé sur branche")+COUNTIFS(Actions!$A$7:$A$45,"APP-07",Actions!$F$7:$F$45,"Observé sur branche")=E46,"Observé sur branche",IF(COUNTIFS(Actions!$A$7:$A$45,"COMBAT-07",Actions!$F$7:$F$45,"Observé sur branche")+COUNTIFS(Actions!$A$7:$A$45,"APP-07",Actions!$F$7:$F$45,"Observé sur branche")+COUNTIFS(Actions!$A$7:$A$45,"COMBAT-07",Actions!$F$7:$F$45,"Partiel")+COUNTIFS(Actions!$A$7:$A$45,"APP-07",Actions!$F$7:$F$45,"Partiel")&gt;0,"Partiel","Non réalisé")))))</x:f>
        <x:v>Non réalisé</x:v>
      </x:c>
      <x:c r="H46" s="21" t="str">
        <x:v>Des écrans de chargement A.R.C.A. et des récupérations pour erreurs de combat ou de hub existent déjà. Ils affichent parfois le message technique brut. Une alerte spécifique protège les sauvegardes lors d’un incident.</x:v>
      </x:c>
      <x:c r="I46" s="21" t="str">
        <x:v>COMBAT-07 — Le chargement décrit la synchronisation des signatures de combat ; la mention technique de construction OpenAI est retirée du message joueur.
APP-07 — Écrans de récupération gardent leur retour explicite ; diagnostic technique dans une section dépliable.</x:v>
      </x:c>
      <x:c r="J46" s="21" t="str">
        <x:v>Conserver récupérations, alertes de sauvegarde, exports de secours et messages de conflit. Le centrage d’un chargement ou d’une confirmation courte est approprié et ne nécessite pas une refonte arbitraire.</x:v>
      </x:c>
      <x:c r="K46" s="21" t="str">
        <x:v>Un échec ne doit provoquer ni écran noir sans sortie ni écrasement de progression. Les boutons de récupération doivent rester accessibles au clavier, et fermer le diagnostic ne doit pas masquer une sauvegarde toujours bloquée.</x:v>
      </x:c>
      <x:c r="L46" s="21" t="str">
        <x:v>La réduction de mouvement agit sur l’ornement de l’interface ; les animations et durées du jeu restent inchangées.
Chargements réseau lents non encore simulés.</x:v>
      </x:c>
      <x:c r="M46" s="21" t="str">
        <x:v>src/components/GameCanvas.jsx
src/components/MeleeControlsPanel.jsx
src/components/combat-immersion.css
src/App.jsx
src/components/game-system.css</x:v>
      </x:c>
      <x:c r="N46" s="21" t="str">
        <x:v>COMBAT-07, APP-07</x:v>
      </x:c>
      <x:c r="O46" s="21" t="str">
        <x:v>src/App.jsx:1128–1238
src/App.jsx:2470–2480
src/components/PortalScreen.jsx:1653–1677</x:v>
      </x:c>
      <x:c r="P46" s="27" t="str">
        <x:f>IFERROR(HYPERLINK("https://github.com/darknigthmare/multiverse-breach/blob/5f44cf344d1a9fbb0dbd7c899510b7dd16cf25d6/src/App.jsx#L1128-L1238","Source de l’audit"),"Source de l’audit")</x:f>
        <x:v>Source de l’audit</x:v>
      </x:c>
      <x:c r="Q46" s="27" t="str">
        <x:f>IFERROR(HYPERLINK("https://github.com/darknigthmare/multiverse-breach/blob/codex/immersive-ui-audit-2026-10-25/src/components/GameCanvas.jsx","Réalisation actuelle"),"Réalisation actuelle")</x:f>
        <x:v>Réalisation actuelle</x:v>
      </x:c>
      <x:c r="R46" s="21" t="str">
        <x:v>Utiliser des transitions liées au lieu ou au mode, avec une activité honnête plutôt qu’un pourcentage fictif. Afficher une explication joueur et un retour sûr ; placer les détails techniques dans un volet copiable.</x:v>
      </x:c>
      <x:c r="S46" s="21" t="str">
        <x:v>Aucune observation de la nouvelle branche enregistrée.</x:v>
      </x:c>
      <x:c r="T46" s="21" t="str">
        <x:v>Non réalisé</x:v>
      </x:c>
    </x:row>
  </x:sheetData>
  <x:conditionalFormatting sqref="D7:G46">
    <x:cfRule type="cellIs" dxfId="6" priority="1" operator="equal">
      <x:formula>"Partiel"</x:formula>
    </x:cfRule>
    <x:cfRule type="cellIs" dxfId="7" priority="2" operator="equal">
      <x:formula>"Partiels"</x:formula>
    </x:cfRule>
    <x:cfRule type="cellIs" dxfId="8" priority="3" operator="equal">
      <x:formula>"À traiter"</x:formula>
    </x:cfRule>
    <x:cfRule type="cellIs" dxfId="9" priority="4" operator="equal">
      <x:formula>"À préciser"</x:formula>
    </x:cfRule>
    <x:cfRule type="cellIs" dxfId="10" priority="5" operator="equal">
      <x:formula>"Bloqués"</x:formula>
    </x:cfRule>
    <x:cfRule type="cellIs" dxfId="11" priority="6" operator="equal">
      <x:formula>"Échec"</x:formula>
    </x:cfRule>
  </x:conditionalFormatting>
  <x:conditionalFormatting sqref="C7:C46">
    <x:cfRule type="cellIs" dxfId="12" priority="7" operator="equal">
      <x:formula>"P0"</x:formula>
    </x:cfRule>
  </x:conditionalFormatting>
  <x:pageMargins left="0.7" right="0.7" top="0.75" bottom="0.75" header="0.3" footer="0.3"/>
  <x:tableParts count="1">
    <x:tablePart xmlns:r="http://schemas.openxmlformats.org/officeDocument/2006/relationships" r:id="R329e0c628dc54133"/>
  </x:tableParts>
</x:worksheet>
</file>

<file path=xl/worksheets/sheet3.xml><?xml version="1.0" encoding="utf-8"?>
<x:worksheet xmlns:x="http://schemas.openxmlformats.org/spreadsheetml/2006/main">
  <x:sheetPr>
    <x:tabColor rgb="FF345A87"/>
  </x:sheetPr>
  <x:sheetViews>
    <x:sheetView showGridLines="0" workbookViewId="0">
      <x:pane xSplit="2" ySplit="6" topLeftCell="C7" activePane="bottomRight" state="frozen"/>
    </x:sheetView>
  </x:sheetViews>
  <x:sheetFormatPr defaultRowHeight="15"/>
  <x:cols>
    <x:col min="1" max="1" width="24" hidden="0" customWidth="1"/>
    <x:col min="2" max="2" width="22" hidden="0" customWidth="1"/>
    <x:col min="3" max="3" width="14" hidden="0" customWidth="1"/>
    <x:col min="4" max="4" width="18" hidden="0" customWidth="1"/>
    <x:col min="5" max="5" width="18" hidden="0" customWidth="1"/>
    <x:col min="6" max="6" width="22" hidden="0" customWidth="1"/>
    <x:col min="7" max="7" width="90" hidden="0" customWidth="1"/>
    <x:col min="8" max="8" width="55" hidden="0" customWidth="1"/>
    <x:col min="9" max="9" width="85" hidden="0" customWidth="1"/>
    <x:col min="10" max="10" width="80" hidden="0" customWidth="1"/>
    <x:col min="11" max="11" width="55" hidden="0" customWidth="1"/>
    <x:col min="12" max="12" width="24" hidden="0" customWidth="1"/>
    <x:col min="13" max="13" width="22" hidden="0" customWidth="1"/>
    <x:col min="14" max="14" width="26" hidden="0" customWidth="1"/>
    <x:col min="15" max="15" width="30" hidden="0" customWidth="1"/>
  </x:cols>
  <x:sheetData>
    <x:row r="1" ht="10" customHeight="1">
      <x:c r="A1" s="2"/>
      <x:c r="B1" s="2"/>
      <x:c r="C1" s="2"/>
      <x:c r="D1" s="2"/>
      <x:c r="E1" s="2"/>
      <x:c r="F1" s="2"/>
      <x:c r="G1" s="2"/>
      <x:c r="H1" s="2"/>
      <x:c r="I1" s="2"/>
      <x:c r="J1" s="2"/>
      <x:c r="K1" s="2"/>
      <x:c r="L1" s="2"/>
      <x:c r="M1" s="2"/>
      <x:c r="N1" s="2"/>
      <x:c r="O1" s="2"/>
    </x:row>
    <x:row r="2" ht="28" customHeight="1">
      <x:c r="A2" s="4" t="str">
        <x:v>Actions — modifications et preuves par lot</x:v>
      </x:c>
      <x:c r="B2" s="2"/>
      <x:c r="C2" s="2"/>
      <x:c r="D2" s="2"/>
      <x:c r="E2" s="2"/>
      <x:c r="F2" s="2"/>
      <x:c r="G2" s="2"/>
      <x:c r="H2" s="2"/>
      <x:c r="I2" s="2"/>
      <x:c r="J2" s="2"/>
      <x:c r="K2" s="2"/>
      <x:c r="L2" s="2"/>
      <x:c r="M2" s="2"/>
      <x:c r="N2" s="2"/>
      <x:c r="O2" s="2"/>
    </x:row>
    <x:row r="3" ht="8" customHeight="1">
      <x:c r="A3" s="5"/>
      <x:c r="B3" s="5"/>
      <x:c r="C3" s="5"/>
      <x:c r="D3" s="5"/>
      <x:c r="E3" s="5"/>
      <x:c r="F3" s="5"/>
      <x:c r="G3" s="5"/>
      <x:c r="H3" s="5"/>
      <x:c r="I3" s="5"/>
      <x:c r="J3" s="5"/>
      <x:c r="K3" s="5"/>
      <x:c r="L3" s="5"/>
      <x:c r="M3" s="5"/>
      <x:c r="N3" s="5"/>
      <x:c r="O3" s="5"/>
    </x:row>
    <x:row r="4" ht="22" customHeight="1">
      <x:c r="A4" s="7" t="str">
        <x:v>Statuts de code indépendants de la recette. APP-08 suit CI et Excel ; ses 40 associations ne valent aucune couverture d’écran.</x:v>
      </x:c>
      <x:c r="B4" s="2"/>
      <x:c r="C4" s="2"/>
      <x:c r="D4" s="2"/>
      <x:c r="E4" s="2"/>
      <x:c r="F4" s="2"/>
      <x:c r="G4" s="2"/>
      <x:c r="H4" s="2"/>
      <x:c r="I4" s="2"/>
      <x:c r="J4" s="2"/>
      <x:c r="K4" s="2"/>
      <x:c r="L4" s="2"/>
      <x:c r="M4" s="2"/>
      <x:c r="N4" s="2"/>
      <x:c r="O4" s="2"/>
    </x:row>
    <x:row r="5" ht="8" customHeight="1">
      <x:c r="A5" s="2"/>
      <x:c r="B5" s="2"/>
      <x:c r="C5" s="2"/>
      <x:c r="D5" s="2"/>
      <x:c r="E5" s="2"/>
      <x:c r="F5" s="2"/>
      <x:c r="G5" s="2"/>
      <x:c r="H5" s="2"/>
      <x:c r="I5" s="2"/>
      <x:c r="J5" s="2"/>
      <x:c r="K5" s="2"/>
      <x:c r="L5" s="2"/>
      <x:c r="M5" s="2"/>
      <x:c r="N5" s="2"/>
      <x:c r="O5" s="2"/>
    </x:row>
    <x:row r="6" ht="34" customHeight="1">
      <x:c r="A6" s="16" t="str">
        <x:v>Lot</x:v>
      </x:c>
      <x:c r="B6" s="17" t="str">
        <x:v>Écrans liés</x:v>
      </x:c>
      <x:c r="C6" s="17" t="str">
        <x:v>Priorité</x:v>
      </x:c>
      <x:c r="D6" s="17" t="str">
        <x:v>Code</x:v>
      </x:c>
      <x:c r="E6" s="17" t="str">
        <x:v>Tests auto</x:v>
      </x:c>
      <x:c r="F6" s="17" t="str">
        <x:v>Navigateur</x:v>
      </x:c>
      <x:c r="G6" s="17" t="str">
        <x:v>Modifications réalisées</x:v>
      </x:c>
      <x:c r="H6" s="17" t="str">
        <x:v>Fichiers</x:v>
      </x:c>
      <x:c r="I6" s="17" t="str">
        <x:v>Validation déclarée / résultats</x:v>
      </x:c>
      <x:c r="J6" s="17" t="str">
        <x:v>Limites restantes</x:v>
      </x:c>
      <x:c r="K6" s="17" t="str">
        <x:v>Preuve navigateur</x:v>
      </x:c>
      <x:c r="L6" s="17" t="str">
        <x:v>Source code</x:v>
      </x:c>
      <x:c r="M6" s="17" t="str">
        <x:v>Ledger source</x:v>
      </x:c>
      <x:c r="N6" s="17" t="str">
        <x:v>Clés de couverture</x:v>
      </x:c>
      <x:c r="O6" s="18" t="str">
        <x:v>Portée</x:v>
      </x:c>
    </x:row>
    <x:row r="7" ht="64" customHeight="1">
      <x:c r="A7" s="22" t="str">
        <x:v>shell-title</x:v>
      </x:c>
      <x:c r="B7" s="24" t="str">
        <x:v>01, 03</x:v>
      </x:c>
      <x:c r="C7" s="22" t="str">
        <x:v>P2</x:v>
      </x:c>
      <x:c r="D7" s="23" t="str">
        <x:v>Conservé</x:v>
      </x:c>
      <x:c r="E7" s="23" t="str">
        <x:v>Réussis</x:v>
      </x:c>
      <x:c r="F7" s="23" t="str">
        <x:v>Non réalisé</x:v>
      </x:c>
      <x:c r="G7" s="22" t="str">
        <x:v>Écran-titre plein écran, attract, rotation, Continuer, Nouvelle Trace, Collection, crédits et prologue conservés.
Les dialogues du titre utilisent le cycle de focus partagé. Fermeture accessible en tête de fenêtre.</x:v>
      </x:c>
      <x:c r="H7" s="22" t="str">
        <x:v>src/components/IntroSequence.jsx
src/components/IntroImmersion.css</x:v>
      </x:c>
      <x:c r="I7" s="22" t="str">
        <x:v>scripts/titleNavigation.test.mjs : réussi
scripts/titlePresentation.test.mjs : réussi
Lint ciblé : réussi</x:v>
      </x:c>
      <x:c r="J7" s="22" t="str">
        <x:v>Pas de nouveau parcours navigateur sur la branche au moment de ce relevé.</x:v>
      </x:c>
      <x:c r="K7" s="22" t="str">
        <x:v>Aucune preuve navigateur de la branche enregistrée.</x:v>
      </x:c>
      <x:c r="L7" s="26" t="str">
        <x:f>IFERROR(HYPERLINK("https://github.com/darknigthmare/multiverse-breach/blob/codex/immersive-ui-audit-2026-10-25/src/components/IntroSequence.jsx","Code de la branche"),"Code de la branche")</x:f>
        <x:v>Code de la branche</x:v>
      </x:c>
      <x:c r="M7" s="26" t="str">
        <x:f>IFERROR(HYPERLINK("https://github.com/darknigthmare/multiverse-breach/blob/codex/immersive-ui-audit-2026-10-25/docs/ui-immersion/shell-implementation.json","shell-title"),"shell-title")</x:f>
        <x:v>shell-title</x:v>
      </x:c>
      <x:c r="N7" s="22" t="str">
        <x:v>S01;S03;</x:v>
      </x:c>
      <x:c r="O7" s="22" t="str">
        <x:v>Écrans</x:v>
      </x:c>
    </x:row>
    <x:row r="8" ht="90" customHeight="1">
      <x:c r="A8" s="21" t="str">
        <x:v>shell-profile</x:v>
      </x:c>
      <x:c r="B8" s="25" t="str">
        <x:v>02</x:v>
      </x:c>
      <x:c r="C8" s="21" t="str">
        <x:v>P1</x:v>
      </x:c>
      <x:c r="D8" s="23" t="str">
        <x:v>Implémenté</x:v>
      </x:c>
      <x:c r="E8" s="23" t="str">
        <x:v>Réussis</x:v>
      </x:c>
      <x:c r="F8" s="23" t="str">
        <x:v>Non réalisé</x:v>
      </x:c>
      <x:c r="G8" s="21" t="str">
        <x:v>Création d’Ancre composée sur le viewport avec identité à gauche et cellule de départ à droite.
Mirelle et Bastion utilisent une pose de leurs sprites existants. Compte et synchronisation restent dans une section facultative.
Nom, démarrage local, connexion et création de compte conservés. Validation du formulaire par Entrée.</x:v>
      </x:c>
      <x:c r="H8" s="21" t="str">
        <x:v>src/components/IntroSequence.jsx
src/components/IntroImmersion.css</x:v>
      </x:c>
      <x:c r="I8" s="21" t="str">
        <x:v>scripts/shellImmersionPresentation.test.mjs : création locale et compte facultatif vérifiés par SSR
Lint ciblé : réussi</x:v>
      </x:c>
      <x:c r="J8" s="21" t="str">
        <x:v>Responsive défini, rendu mobile réel non validé.</x:v>
      </x:c>
      <x:c r="K8" s="21" t="str">
        <x:v>Aucune preuve navigateur de la branche enregistrée.</x:v>
      </x:c>
      <x:c r="L8" s="27" t="str">
        <x:f>IFERROR(HYPERLINK("https://github.com/darknigthmare/multiverse-breach/blob/codex/immersive-ui-audit-2026-10-25/src/components/IntroSequence.jsx","Code de la branche"),"Code de la branche")</x:f>
        <x:v>Code de la branche</x:v>
      </x:c>
      <x:c r="M8" s="27" t="str">
        <x:f>IFERROR(HYPERLINK("https://github.com/darknigthmare/multiverse-breach/blob/codex/immersive-ui-audit-2026-10-25/docs/ui-immersion/shell-implementation.json","shell-profile"),"shell-profile")</x:f>
        <x:v>shell-profile</x:v>
      </x:c>
      <x:c r="N8" s="21" t="str">
        <x:v>S02;</x:v>
      </x:c>
      <x:c r="O8" s="21" t="str">
        <x:v>Écrans</x:v>
      </x:c>
    </x:row>
    <x:row r="9" ht="64" customHeight="1">
      <x:c r="A9" s="22" t="str">
        <x:v>shell-options</x:v>
      </x:c>
      <x:c r="B9" s="24" t="str">
        <x:v>04</x:v>
      </x:c>
      <x:c r="C9" s="22" t="str">
        <x:v>P1</x:v>
      </x:c>
      <x:c r="D9" s="23" t="str">
        <x:v>Implémenté</x:v>
      </x:c>
      <x:c r="E9" s="23" t="str">
        <x:v>Réussis</x:v>
      </x:c>
      <x:c r="F9" s="23" t="str">
        <x:v>Non réalisé</x:v>
      </x:c>
      <x:c r="G9" s="22" t="str">
        <x:v>GameDisplaySettings intégré aux options du titre.
Volumes, mute, langue, variantes événementielles, crédits et confirmation Nouvelle Trace conservés.
Dialogues centrés avec défilement interne et fermeture visible en tête.</x:v>
      </x:c>
      <x:c r="H9" s="22" t="str">
        <x:v>src/components/IntroSequence.jsx
src/components/IntroImmersion.css</x:v>
      </x:c>
      <x:c r="I9" s="22" t="str">
        <x:v>scripts/titleNavigation.test.mjs : réussi
scripts/titlePresentation.test.mjs : réussi
scripts/shellImmersion.test.mjs et scripts/dialogFocus.test.mjs : cycle modal vérifié</x:v>
      </x:c>
      <x:c r="J9" s="22" t="str">
        <x:v>Plein écran système et paramètres partagés sont implémentés par le lot App.
Aucun test navigateur de l’API fullscreen dans ce relevé.</x:v>
      </x:c>
      <x:c r="K9" s="22" t="str">
        <x:v>Aucune preuve navigateur de la branche enregistrée.</x:v>
      </x:c>
      <x:c r="L9" s="26" t="str">
        <x:f>IFERROR(HYPERLINK("https://github.com/darknigthmare/multiverse-breach/blob/codex/immersive-ui-audit-2026-10-25/src/components/IntroSequence.jsx","Code de la branche"),"Code de la branche")</x:f>
        <x:v>Code de la branche</x:v>
      </x:c>
      <x:c r="M9" s="26" t="str">
        <x:f>IFERROR(HYPERLINK("https://github.com/darknigthmare/multiverse-breach/blob/codex/immersive-ui-audit-2026-10-25/docs/ui-immersion/shell-implementation.json","shell-options"),"shell-options")</x:f>
        <x:v>shell-options</x:v>
      </x:c>
      <x:c r="N9" s="22" t="str">
        <x:v>S04;</x:v>
      </x:c>
      <x:c r="O9" s="22" t="str">
        <x:v>Écrans</x:v>
      </x:c>
    </x:row>
    <x:row r="10" ht="77" customHeight="1">
      <x:c r="A10" s="21" t="str">
        <x:v>shell-account</x:v>
      </x:c>
      <x:c r="B10" s="25" t="str">
        <x:v>05</x:v>
      </x:c>
      <x:c r="C10" s="21" t="str">
        <x:v>P1</x:v>
      </x:c>
      <x:c r="D10" s="23" t="str">
        <x:v>Implémenté</x:v>
      </x:c>
      <x:c r="E10" s="23" t="str">
        <x:v>Réussis</x:v>
      </x:c>
      <x:c r="F10" s="23" t="str">
        <x:v>Non réalisé</x:v>
      </x:c>
      <x:c r="G10" s="21" t="str">
        <x:v>Compte et sauvegardes affichés dans un tiroir interne avec arrière-plan inactif, Échap et retour du focus.
Toutes les actions de compte, récupération de mot de passe, renvoi de confirmation, cloud et sauvegarde locale conservent leurs callbacks.
Version embarquée préservée pour la création d’Ancre.</x:v>
      </x:c>
      <x:c r="H10" s="21" t="str">
        <x:v>src/components/AuthPanel.jsx
src/components/AuthImmersion.css
src/components/collection/ArchiveDrawer.jsx</x:v>
      </x:c>
      <x:c r="I10" s="21" t="str">
        <x:v>Lint ciblé : réussi
scripts/shellImmersionPresentation.test.mjs : compte embarqué rendu
scripts/shellImmersion.test.mjs : isolation du tiroir vérifiée</x:v>
      </x:c>
      <x:c r="J10" s="21" t="str">
        <x:v>Synchronisation cloud et envoi réel d’emails non testés.
Confirmations et prévention des conflits asynchrones traitées par le lot App.</x:v>
      </x:c>
      <x:c r="K10" s="21" t="str">
        <x:v>Aucune preuve navigateur de la branche enregistrée.</x:v>
      </x:c>
      <x:c r="L10" s="27" t="str">
        <x:f>IFERROR(HYPERLINK("https://github.com/darknigthmare/multiverse-breach/blob/codex/immersive-ui-audit-2026-10-25/src/components/AuthPanel.jsx","Code de la branche"),"Code de la branche")</x:f>
        <x:v>Code de la branche</x:v>
      </x:c>
      <x:c r="M10" s="27" t="str">
        <x:f>IFERROR(HYPERLINK("https://github.com/darknigthmare/multiverse-breach/blob/codex/immersive-ui-audit-2026-10-25/docs/ui-immersion/shell-implementation.json","shell-account"),"shell-account")</x:f>
        <x:v>shell-account</x:v>
      </x:c>
      <x:c r="N10" s="21" t="str">
        <x:v>S05;</x:v>
      </x:c>
      <x:c r="O10" s="21" t="str">
        <x:v>Écrans</x:v>
      </x:c>
    </x:row>
    <x:row r="11" ht="90" customHeight="1">
      <x:c r="A11" s="22" t="str">
        <x:v>shell-universe</x:v>
      </x:c>
      <x:c r="B11" s="24" t="str">
        <x:v>33</x:v>
      </x:c>
      <x:c r="C11" s="22" t="str">
        <x:v>P1</x:v>
      </x:c>
      <x:c r="D11" s="23" t="str">
        <x:v>Implémenté</x:v>
      </x:c>
      <x:c r="E11" s="23" t="str">
        <x:v>Réussis</x:v>
      </x:c>
      <x:c r="F11" s="23" t="str">
        <x:v>Non réalisé</x:v>
      </x:c>
      <x:c r="G11" s="22" t="str">
        <x:v>Dossier d’univers étendu au viewport avec lecteur et défilement internes.
Tous les contenus fournis par le hub, onglets et navigation précédent/suivant restent conservés.
Colonne de lecture bornée et focus isolé/restauré.</x:v>
      </x:c>
      <x:c r="H11" s="22" t="str">
        <x:v>src/components/UniverseArchiveDialog.jsx
src/components/UniverseArchiveDialog.css</x:v>
      </x:c>
      <x:c r="I11" s="22" t="str">
        <x:v>scripts/shellImmersionPresentation.test.mjs : réussi ; un dialogue étiqueté et contenu intégral préservé
scripts/universeArchiveView.test.mjs : réussi dans les 55 suites test:conversation après récupération du manifeste de médias ; preuve docs/ui-immersion/evidence/conversation-final.log.
Lint ciblé : réussi</x:v>
      </x:c>
      <x:c r="J11" s="22" t="str">
        <x:v>Parcours réel Codex/collection à confirmer en preview.</x:v>
      </x:c>
      <x:c r="K11" s="22" t="str">
        <x:v>Aucune preuve navigateur de la branche enregistrée.</x:v>
      </x:c>
      <x:c r="L11" s="26" t="str">
        <x:f>IFERROR(HYPERLINK("https://github.com/darknigthmare/multiverse-breach/blob/codex/immersive-ui-audit-2026-10-25/src/components/UniverseArchiveDialog.jsx","Code de la branche"),"Code de la branche")</x:f>
        <x:v>Code de la branche</x:v>
      </x:c>
      <x:c r="M11" s="26" t="str">
        <x:f>IFERROR(HYPERLINK("https://github.com/darknigthmare/multiverse-breach/blob/codex/immersive-ui-audit-2026-10-25/docs/ui-immersion/shell-implementation.json","shell-universe"),"shell-universe")</x:f>
        <x:v>shell-universe</x:v>
      </x:c>
      <x:c r="N11" s="22" t="str">
        <x:v>S33;</x:v>
      </x:c>
      <x:c r="O11" s="22" t="str">
        <x:v>Écrans</x:v>
      </x:c>
    </x:row>
    <x:row r="12" ht="90" customHeight="1">
      <x:c r="A12" s="21" t="str">
        <x:v>shell-cg</x:v>
      </x:c>
      <x:c r="B12" s="25" t="str">
        <x:v>35</x:v>
      </x:c>
      <x:c r="C12" s="21" t="str">
        <x:v>P1</x:v>
      </x:c>
      <x:c r="D12" s="23" t="str">
        <x:v>Implémenté</x:v>
      </x:c>
      <x:c r="E12" s="23" t="str">
        <x:v>Réussis</x:v>
      </x:c>
      <x:c r="F12" s="23" t="str">
        <x:v>Non réalisé</x:v>
      </x:c>
      <x:c r="G12" s="21" t="str">
        <x:v>Image principale immédiatement visible avec bande de vignettes et filtres repliables.
Visionneuse plein viewport, zoom 1–3, comparaison, favoris et plein écran système conservés.
Dossier, crédits, prompts, statut et références déplacés dans un panneau ouvrable. Filmstrip dans la visionneuse et retour à la sélection courante.
Média verrouillé non exposé dans la scène principale. Message explicite si fullscreen indisponible.</x:v>
      </x:c>
      <x:c r="H12" s="21" t="str">
        <x:v>src/components/cg/CgGallery.jsx
src/components/cg/cgImmersion.css</x:v>
      </x:c>
      <x:c r="I12" s="21" t="str">
        <x:v>scripts/cgCatalog.test.mjs : réussi
scripts/shellImmersionPresentation.test.mjs : galerie déverrouillée/verrouillée vérifiée
Lint ciblé : réussi</x:v>
      </x:c>
      <x:c r="J12" s="21" t="str">
        <x:v>Pan/zoom, comparaison et fullscreen à vérifier dans un navigateur.
La galerie conserve un défilement interne sur très faible hauteur pour préserver l’accès aux commandes.</x:v>
      </x:c>
      <x:c r="K12" s="21" t="str">
        <x:v>Aucune preuve navigateur de la branche enregistrée.</x:v>
      </x:c>
      <x:c r="L12" s="27" t="str">
        <x:f>IFERROR(HYPERLINK("https://github.com/darknigthmare/multiverse-breach/blob/codex/immersive-ui-audit-2026-10-25/src/components/cg/CgGallery.jsx","Code de la branche"),"Code de la branche")</x:f>
        <x:v>Code de la branche</x:v>
      </x:c>
      <x:c r="M12" s="27" t="str">
        <x:f>IFERROR(HYPERLINK("https://github.com/darknigthmare/multiverse-breach/blob/codex/immersive-ui-audit-2026-10-25/docs/ui-immersion/shell-implementation.json","shell-cg"),"shell-cg")</x:f>
        <x:v>shell-cg</x:v>
      </x:c>
      <x:c r="N12" s="21" t="str">
        <x:v>S35;</x:v>
      </x:c>
      <x:c r="O12" s="21" t="str">
        <x:v>Écrans</x:v>
      </x:c>
    </x:row>
    <x:row r="13" ht="90" customHeight="1">
      <x:c r="A13" s="22" t="str">
        <x:v>shell-portal</x:v>
      </x:c>
      <x:c r="B13" s="24" t="str">
        <x:v>36</x:v>
      </x:c>
      <x:c r="C13" s="22" t="str">
        <x:v>P1</x:v>
      </x:c>
      <x:c r="D13" s="23" t="str">
        <x:v>Implémenté</x:v>
      </x:c>
      <x:c r="E13" s="23" t="str">
        <x:v>Réussis</x:v>
      </x:c>
      <x:c r="F13" s="23" t="str">
        <x:v>Non réalisé</x:v>
      </x:c>
      <x:c r="G13" s="22" t="str">
        <x:v>Le booster sélectionné devient la scène principale du viewport.
Catalogue, recherche, groupes et rotation dans un tiroir. Dossier complet plein écran accessible sans achat.
Garanties et prix visibles avant l’ouverture. Taux, contenu exhaustif, Compas Nexus, remboursements, bonus tenues et historique restent accessibles.
Aucune règle de prix, tirage, remboursement, récompense ou rotation modifiée.</x:v>
      </x:c>
      <x:c r="H13" s="22" t="str">
        <x:v>src/components/PortalScreen.jsx
src/components/PortalImmersion.css
src/components/PortalBoosterDossier.jsx
src/components/collection/ArchiveDrawer.jsx</x:v>
      </x:c>
      <x:c r="I13" s="22" t="str">
        <x:v>scripts/portalCatalogView.test.mjs : réussi
scripts/portalBoosterEngine.test.mjs : réussi
scripts/portalBoosterEconomy.test.mjs : réussi
Lint ciblé : réussi</x:v>
      </x:c>
      <x:c r="J13" s="22" t="str">
        <x:v>Ouverture réelle et catalogue dense à valider dans la preview de la branche.</x:v>
      </x:c>
      <x:c r="K13" s="22" t="str">
        <x:v>Aucune preuve navigateur de la branche enregistrée.</x:v>
      </x:c>
      <x:c r="L13" s="26" t="str">
        <x:f>IFERROR(HYPERLINK("https://github.com/darknigthmare/multiverse-breach/blob/codex/immersive-ui-audit-2026-10-25/src/components/PortalScreen.jsx","Code de la branche"),"Code de la branche")</x:f>
        <x:v>Code de la branche</x:v>
      </x:c>
      <x:c r="M13" s="26" t="str">
        <x:f>IFERROR(HYPERLINK("https://github.com/darknigthmare/multiverse-breach/blob/codex/immersive-ui-audit-2026-10-25/docs/ui-immersion/shell-implementation.json","shell-portal"),"shell-portal")</x:f>
        <x:v>shell-portal</x:v>
      </x:c>
      <x:c r="N13" s="22" t="str">
        <x:v>S36;</x:v>
      </x:c>
      <x:c r="O13" s="22" t="str">
        <x:v>Écrans</x:v>
      </x:c>
    </x:row>
    <x:row r="14" ht="77" customHeight="1">
      <x:c r="A14" s="21" t="str">
        <x:v>shell-reveal</x:v>
      </x:c>
      <x:c r="B14" s="25" t="str">
        <x:v>37</x:v>
      </x:c>
      <x:c r="C14" s="21" t="str">
        <x:v>P1</x:v>
      </x:c>
      <x:c r="D14" s="23" t="str">
        <x:v>Implémenté</x:v>
      </x:c>
      <x:c r="E14" s="23" t="str">
        <x:v>Réussis</x:v>
      </x:c>
      <x:c r="F14" s="23" t="str">
        <x:v>Non réalisé</x:v>
      </x:c>
      <x:c r="G14" s="21" t="str">
        <x:v>Révélation conservée avec exactement cinq cartes, retournement individuel, Tout révéler et Booster suivant.
Cartes dans une zone interne adaptable ; défilement horizontal sur petit écran et faces dimensionnées pour conserver les descriptions.
Verrou d’ouverture, timers, transactions, reçus et remboursements inchangés.</x:v>
      </x:c>
      <x:c r="H14" s="21" t="str">
        <x:v>src/components/PortalScreen.jsx
src/components/PortalImmersion.css</x:v>
      </x:c>
      <x:c r="I14" s="21" t="str">
        <x:v>scripts/portalBoosterEngine.test.mjs : réussi
scripts/portalBoosterEconomy.test.mjs : réussi
scripts/portalCatalogView.test.mjs : réussi</x:v>
      </x:c>
      <x:c r="J14" s="21" t="str">
        <x:v>Pas de preuve navigateur d’un achat puis révélation complète sur la nouvelle branche.</x:v>
      </x:c>
      <x:c r="K14" s="21" t="str">
        <x:v>Aucune preuve navigateur de la branche enregistrée.</x:v>
      </x:c>
      <x:c r="L14" s="27" t="str">
        <x:f>IFERROR(HYPERLINK("https://github.com/darknigthmare/multiverse-breach/blob/codex/immersive-ui-audit-2026-10-25/src/components/PortalScreen.jsx","Code de la branche"),"Code de la branche")</x:f>
        <x:v>Code de la branche</x:v>
      </x:c>
      <x:c r="M14" s="27" t="str">
        <x:f>IFERROR(HYPERLINK("https://github.com/darknigthmare/multiverse-breach/blob/codex/immersive-ui-audit-2026-10-25/docs/ui-immersion/shell-implementation.json","shell-reveal"),"shell-reveal")</x:f>
        <x:v>shell-reveal</x:v>
      </x:c>
      <x:c r="N14" s="21" t="str">
        <x:v>S37;</x:v>
      </x:c>
      <x:c r="O14" s="21" t="str">
        <x:v>Écrans</x:v>
      </x:c>
    </x:row>
    <x:row r="15" ht="142" customHeight="1">
      <x:c r="A15" s="22" t="str">
        <x:v>shell-album</x:v>
      </x:c>
      <x:c r="B15" s="24" t="str">
        <x:v>38</x:v>
      </x:c>
      <x:c r="C15" s="22" t="str">
        <x:v>P1</x:v>
      </x:c>
      <x:c r="D15" s="23" t="str">
        <x:v>Implémenté</x:v>
      </x:c>
      <x:c r="E15" s="23" t="str">
        <x:v>Réussis</x:v>
      </x:c>
      <x:c r="F15" s="23" t="str">
        <x:v>Non réalisé</x:v>
      </x:c>
      <x:c r="G15" s="22" t="str">
        <x:v>Album plein viewport, en-tête et navigation persistants, contenu interne défilant.
Filtres Bibliothèque et Classeur partagent la même logique. Obtenues/Favoris/recherche/rareté/type/canon masquent les classeurs sans correspondance. Progression calculée sur le set complet.
Les filtres de cartes ne sont plus affichés en Historique. Les trois vues, pagination, paliers, maîtrise, copies et finitions sont conservés.
Une pose remplace l’affichage de planches entières dans les cartes. La planche, les statuts provisoires et la provenance restent en Détails.
Fiche carte portalisée, album inactif derrière et restitution de focus. Dossiers de personnages existants réutilisés sans création de lore.</x:v>
      </x:c>
      <x:c r="H15" s="22" t="str">
        <x:v>src/components/collection/CollectionHome.jsx
src/components/collection/UniverseBinder.jsx
src/components/collection/CardDetailModal.jsx
src/components/collection/CardSignatureDetails.jsx
src/components/collection/collectionView.js
src/components/collection/collectionImmersion.css
src/components/cards/CollectibleCard.jsx
src/components/cards/cardArtPresentation.js</x:v>
      </x:c>
      <x:c r="I15" s="22" t="str">
        <x:v>scripts/shellImmersion.test.mjs : filtres cohérents, données non mutées, pose Mirelle, modal imbriqué vérifiés
scripts/shellImmersionPresentation.test.mjs : structure d’Album vérifiée
scripts/cardCatalog.test.mjs, scripts/cardCollectionEngine.test.mjs, scripts/cardSaveMigration.test.mjs : réussis
Lint ciblé : réussi</x:v>
      </x:c>
      <x:c r="J15" s="22" t="str">
        <x:v>Collection de taille réelle et lecteurs d’écran à confirmer en navigateur.
La pose réutilise la grille source déclarée ; aucune nouvelle illustration n’est générée.</x:v>
      </x:c>
      <x:c r="K15" s="22" t="str">
        <x:v>Aucune preuve navigateur de la branche enregistrée.</x:v>
      </x:c>
      <x:c r="L15" s="26" t="str">
        <x:f>IFERROR(HYPERLINK("https://github.com/darknigthmare/multiverse-breach/blob/codex/immersive-ui-audit-2026-10-25/src/components/collection/CollectionHome.jsx","Code de la branche"),"Code de la branche")</x:f>
        <x:v>Code de la branche</x:v>
      </x:c>
      <x:c r="M15" s="26" t="str">
        <x:f>IFERROR(HYPERLINK("https://github.com/darknigthmare/multiverse-breach/blob/codex/immersive-ui-audit-2026-10-25/docs/ui-immersion/shell-implementation.json","shell-album"),"shell-album")</x:f>
        <x:v>shell-album</x:v>
      </x:c>
      <x:c r="N15" s="22" t="str">
        <x:v>S38;</x:v>
      </x:c>
      <x:c r="O15" s="22" t="str">
        <x:v>Écrans</x:v>
      </x:c>
    </x:row>
    <x:row r="16" ht="51" customHeight="1">
      <x:c r="A16" s="21" t="str">
        <x:v>shell-advanced</x:v>
      </x:c>
      <x:c r="B16" s="25" t="str">
        <x:v>39</x:v>
      </x:c>
      <x:c r="C16" s="21" t="str">
        <x:v>P2</x:v>
      </x:c>
      <x:c r="D16" s="23" t="str">
        <x:v>Implémenté</x:v>
      </x:c>
      <x:c r="E16" s="23" t="str">
        <x:v>Déclarés</x:v>
      </x:c>
      <x:c r="F16" s="23" t="str">
        <x:v>Non réalisé</x:v>
      </x:c>
      <x:c r="G16" s="21" t="str">
        <x:v>Portal Lab déplacé dans Menu &gt; Outils avancés.
Collection/personnalisation et historique du portail gardent une destination explicite.
Aucun outil de diagnostic supprimé.</x:v>
      </x:c>
      <x:c r="H16" s="21" t="str">
        <x:v>src/components/PortalScreen.jsx
src/components/PortalImmersion.css</x:v>
      </x:c>
      <x:c r="I16" s="21" t="str">
        <x:v>Lint ciblé : réussi
scripts/portalCatalogView.test.mjs : catalogue et historique conservés</x:v>
      </x:c>
      <x:c r="J16" s="21" t="str">
        <x:v>La rubrique Régulation du hub appartient au lot Hub.</x:v>
      </x:c>
      <x:c r="K16" s="21" t="str">
        <x:v>Aucune preuve navigateur de la branche enregistrée.</x:v>
      </x:c>
      <x:c r="L16" s="27" t="str">
        <x:f>IFERROR(HYPERLINK("https://github.com/darknigthmare/multiverse-breach/blob/codex/immersive-ui-audit-2026-10-25/src/components/PortalScreen.jsx","Code de la branche"),"Code de la branche")</x:f>
        <x:v>Code de la branche</x:v>
      </x:c>
      <x:c r="M16" s="27" t="str">
        <x:f>IFERROR(HYPERLINK("https://github.com/darknigthmare/multiverse-breach/blob/codex/immersive-ui-audit-2026-10-25/docs/ui-immersion/shell-implementation.json","shell-advanced"),"shell-advanced")</x:f>
        <x:v>shell-advanced</x:v>
      </x:c>
      <x:c r="N16" s="21" t="str">
        <x:v>S39;</x:v>
      </x:c>
      <x:c r="O16" s="21" t="str">
        <x:v>Écrans</x:v>
      </x:c>
    </x:row>
    <x:row r="17" ht="90" customHeight="1">
      <x:c r="A17" s="22" t="str">
        <x:v>shell-modal-lifecycle</x:v>
      </x:c>
      <x:c r="B17" s="24" t="str">
        <x:v>T05</x:v>
      </x:c>
      <x:c r="C17" s="22" t="str">
        <x:v>Transversal</x:v>
      </x:c>
      <x:c r="D17" s="23" t="str">
        <x:v>Implémenté</x:v>
      </x:c>
      <x:c r="E17" s="23" t="str">
        <x:v>Réussis</x:v>
      </x:c>
      <x:c r="F17" s="23" t="str">
        <x:v>Non réalisé</x:v>
      </x:c>
      <x:c r="G17" s="22" t="str">
        <x:v>Cycle partagé de focus, Tab/Échap, inert et verrouillage du scroll.
Verrous comptés par élément pour éviter un jeu bloqué après fermeture simultanée de plusieurs niveaux.
État précédent de inert et focus du déclencheur restaurés. Dialogues parents suspendus pendant un dialogue enfant.</x:v>
      </x:c>
      <x:c r="H17" s="22" t="str">
        <x:v>src/components/collection/modalIsolation.js
src/components/collection/useModalDialog.js
src/components/collection/ArchiveDrawer.jsx
src/components/collection/archiveDrawer.css
scripts/shellImmersion.test.mjs
scripts/shellImmersionPresentation.test.mjs</x:v>
      </x:c>
      <x:c r="I17" s="22" t="str">
        <x:v>scripts/shellImmersion.test.mjs : 8 tests réussis
scripts/shellImmersionPresentation.test.mjs : 4 tests réussis
scripts/dialogFocus.test.mjs : réussi</x:v>
      </x:c>
      <x:c r="J17" s="22" t="str">
        <x:v>Validation automatisée et SSR. Validation clavier et lecteur d’écran sur navigateur restant à réaliser.</x:v>
      </x:c>
      <x:c r="K17" s="22" t="str">
        <x:v>Aucune preuve navigateur de la branche enregistrée.</x:v>
      </x:c>
      <x:c r="L17" s="26" t="str">
        <x:f>IFERROR(HYPERLINK("https://github.com/darknigthmare/multiverse-breach/blob/codex/immersive-ui-audit-2026-10-25/src/components/collection/modalIsolation.js","Code de la branche"),"Code de la branche")</x:f>
        <x:v>Code de la branche</x:v>
      </x:c>
      <x:c r="M17" s="26" t="str">
        <x:f>IFERROR(HYPERLINK("https://github.com/darknigthmare/multiverse-breach/blob/codex/immersive-ui-audit-2026-10-25/docs/ui-immersion/shell-implementation.json","shell-modal-lifecycle"),"shell-modal-lifecycle")</x:f>
        <x:v>shell-modal-lifecycle</x:v>
      </x:c>
      <x:c r="N17" s="22" t="str"/>
      <x:c r="O17" s="22" t="str">
        <x:v>Transversal — exclu de la couverture écran</x:v>
      </x:c>
    </x:row>
    <x:row r="18" ht="129" customHeight="1">
      <x:c r="A18" s="21" t="str">
        <x:v>HUB-01</x:v>
      </x:c>
      <x:c r="B18" s="25" t="str">
        <x:v>06, 07, 08, 09, 10, 11, 29, 30, 32, 34, 39</x:v>
      </x:c>
      <x:c r="C18" s="21" t="str">
        <x:v>P1</x:v>
      </x:c>
      <x:c r="D18" s="23" t="str">
        <x:v>Implémenté</x:v>
      </x:c>
      <x:c r="E18" s="23" t="str">
        <x:v>Réussis</x:v>
      </x:c>
      <x:c r="F18" s="23" t="str">
        <x:v>Non réalisé</x:v>
      </x:c>
      <x:c r="G18" s="21" t="str">
        <x:v>Shell de jeu en grille 100dvh : navigation latérale compacte, en-tête de ressources, filtres contextuels et espace principal borné. Navigation mobile sur deux rails horizontaux.
Les cinq groupes, quinze destinations internes et sortie vers le Portail restent présents. Les catégories et sous-vues de mission, sélection des héros, réglages de régulation et handlers de progression sont conservés.
La directive et les indicateurs du cycle sont consultables dans une console ouvrable. Retour à la Cité accessible après une visite.
Le contenu défile dans son espace principal ou son dossier ; le document de jeu ne devient plus une longue page centrée.</x:v>
      </x:c>
      <x:c r="H18" s="21" t="str">
        <x:v>src/components/HubScreen.jsx
src/components/HubImmersion.css</x:v>
      </x:c>
      <x:c r="I18" s="21" t="str">
        <x:v>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18" s="21" t="str">
        <x:v>Recette visuelle Vercel encore nécessaire, notamment 390px, 1363px et ultralarge.
Les catalogues et cartes existants conservent leur contenu et leur logique ; le travail ne crée pas de nouveaux décors propres à chaque écran secondaire.</x:v>
      </x:c>
      <x:c r="K18" s="21" t="str">
        <x:v>Aucune preuve navigateur de la branche enregistrée.</x:v>
      </x:c>
      <x:c r="L18" s="27" t="str">
        <x:f>IFERROR(HYPERLINK("https://github.com/darknigthmare/multiverse-breach/blob/codex/immersive-ui-audit-2026-10-25/src/components/HubScreen.jsx","Code de la branche"),"Code de la branche")</x:f>
        <x:v>Code de la branche</x:v>
      </x:c>
      <x:c r="M18" s="27" t="str">
        <x:f>IFERROR(HYPERLINK("https://github.com/darknigthmare/multiverse-breach/blob/codex/immersive-ui-audit-2026-10-25/docs/ui-immersion/hub-implementation.json","HUB-01"),"HUB-01")</x:f>
        <x:v>HUB-01</x:v>
      </x:c>
      <x:c r="N18" s="21" t="str">
        <x:v>S06;S07;S08;S09;S10;S11;S29;S30;S32;S34;S39;</x:v>
      </x:c>
      <x:c r="O18" s="21" t="str">
        <x:v>Écrans</x:v>
      </x:c>
    </x:row>
    <x:row r="19" ht="90" customHeight="1">
      <x:c r="A19" s="22" t="str">
        <x:v>HUB-02</x:v>
      </x:c>
      <x:c r="B19" s="24" t="str">
        <x:v>06, 09, 30</x:v>
      </x:c>
      <x:c r="C19" s="22" t="str">
        <x:v>P1</x:v>
      </x:c>
      <x:c r="D19" s="23" t="str">
        <x:v>Implémenté</x:v>
      </x:c>
      <x:c r="E19" s="23" t="str">
        <x:v>Réussis</x:v>
      </x:c>
      <x:c r="F19" s="23" t="str">
        <x:v>Non réalisé</x:v>
      </x:c>
      <x:c r="G19" s="22" t="str">
        <x:v>Les quatre blocs de progression auparavant conditionnés par legacyStoryMeta sont déplacés, via une transformation AST contrôlée, vers un Registre accessible depuis Directive &amp; cycle.
Quatre dossiers : jalons, réputations/stratégie, campagne/factions, cycles/collections. Les données, descriptions et boutons de récompenses existants sont conservés avec leurs conditions.
Modal partagé avec isolation des couches, retour du focus, Échap et défilement interne.</x:v>
      </x:c>
      <x:c r="H19" s="22" t="str">
        <x:v>src/components/HubScreen.jsx
src/components/ImmersiveDrawer.jsx
src/components/HubImmersion.css</x:v>
      </x:c>
      <x:c r="I19" s="22" t="str">
        <x:v>AST JSX validé avant et après déplacement des quatre blocs.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19" s="22" t="str">
        <x:v>Contrôle visuel et activation manuelle de chaque dossier en preview encore à réaliser ; les tests de progression existants restent verts.</x:v>
      </x:c>
      <x:c r="K19" s="22" t="str">
        <x:v>Aucune preuve navigateur de la branche enregistrée.</x:v>
      </x:c>
      <x:c r="L19" s="26" t="str">
        <x:f>IFERROR(HYPERLINK("https://github.com/darknigthmare/multiverse-breach/blob/codex/immersive-ui-audit-2026-10-25/src/components/HubScreen.jsx","Code de la branche"),"Code de la branche")</x:f>
        <x:v>Code de la branche</x:v>
      </x:c>
      <x:c r="M19" s="26" t="str">
        <x:f>IFERROR(HYPERLINK("https://github.com/darknigthmare/multiverse-breach/blob/codex/immersive-ui-audit-2026-10-25/docs/ui-immersion/hub-implementation.json","HUB-02"),"HUB-02")</x:f>
        <x:v>HUB-02</x:v>
      </x:c>
      <x:c r="N19" s="22" t="str">
        <x:v>S06;S09;S30;</x:v>
      </x:c>
      <x:c r="O19" s="22" t="str">
        <x:v>Écrans</x:v>
      </x:c>
    </x:row>
    <x:row r="20" ht="194" customHeight="1">
      <x:c r="A20" s="21" t="str">
        <x:v>HUB-03</x:v>
      </x:c>
      <x:c r="B20" s="25" t="str">
        <x:v>12, 13</x:v>
      </x:c>
      <x:c r="C20" s="21" t="str">
        <x:v>P1</x:v>
      </x:c>
      <x:c r="D20" s="23" t="str">
        <x:v>Implémenté</x:v>
      </x:c>
      <x:c r="E20" s="23" t="str">
        <x:v>Réussis</x:v>
      </x:c>
      <x:c r="F20" s="23" t="str">
        <x:v>Non réalisé</x:v>
      </x:c>
      <x:c r="G20" s="21" t="str">
        <x:v>Cité rendue dans une scène fixe couvrant le viewport : lieu courant, interaction, mini-carte et objectif restent contextuels.
Le canevas adapte son ratio logique à la fenêtre, sans étirer les personnages ni modifier vitesse/collisions ; le fond Atrium existant est utilisé dans le monde.
Destinations, statistiques, journal, commandes et gestion du guide sont déplacés dans un terminal ouvrable qui gèle l’exploration.
Un seul panneau de guide est affiché : dialogue d’accueil ou étape active. Pause, reprise, ignorer, redémarrer et revoir l’accueil restent disponibles.
Position, orientation et quartier sont sauvegardés dans activityProgress.mosaicLocation toutes les cinq secondes, à la sortie et au pagehide. Retour sûr à l’Atrium si le quartier devient indisponible.
Services connectés : Archives → Codex ; chambre des arcs → arcs ; relectures → journal ; récupération → équipe ; reliques → inventaire ; simulateur → Custom. La navigation mission conserve le contexte de l’univers malgré la remise à zéro des sous-vues.</x:v>
      </x:c>
      <x:c r="H20" s="21" t="str">
        <x:v>src/components/HubScreen.jsx
src/components/HubImmersion.css
src/components/useSceneViewport.js
src/components/ImmersiveDrawer.jsx
src/game/immersiveHubState.js
scripts/mosaicCityRuntime.test.mjs
scripts/immersiveHubState.test.mjs</x:v>
      </x:c>
      <x:c r="I20" s="21" t="str">
        <x:v>34 tests mosaicCityRuntime réussis, dont navigation de proximité, destinations autorisées, tutoriel, collisions et entrées clavier/tactiles.
Tests nouveaux : déplacement réel puis sérialisation/restauration du quartier/position ; limites et données invalides ; état transitoire non sauvegardé.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20" s="21" t="str">
        <x:v>Les portails restent soumis à proximité et autorisation ; le terminal ne téléporte pas dans un univers verrouillé.
Le décor illustré ajouté réutilise uniquement l’Atrium existant. Les autres quartiers gardent leur décor procédural.
La position est sauvegardée à un point de contrôle toutes les cinq secondes ; une fermeture brutale peut perdre les dernières secondes de marche.</x:v>
      </x:c>
      <x:c r="K20" s="21" t="str">
        <x:v>Aucune preuve navigateur de la branche enregistrée.</x:v>
      </x:c>
      <x:c r="L20" s="27" t="str">
        <x:f>IFERROR(HYPERLINK("https://github.com/darknigthmare/multiverse-breach/blob/codex/immersive-ui-audit-2026-10-25/src/components/HubScreen.jsx","Code de la branche"),"Code de la branche")</x:f>
        <x:v>Code de la branche</x:v>
      </x:c>
      <x:c r="M20" s="27" t="str">
        <x:f>IFERROR(HYPERLINK("https://github.com/darknigthmare/multiverse-breach/blob/codex/immersive-ui-audit-2026-10-25/docs/ui-immersion/hub-implementation.json","HUB-03"),"HUB-03")</x:f>
        <x:v>HUB-03</x:v>
      </x:c>
      <x:c r="N20" s="21" t="str">
        <x:v>S12;S13;</x:v>
      </x:c>
      <x:c r="O20" s="21" t="str">
        <x:v>Écrans</x:v>
      </x:c>
    </x:row>
    <x:row r="21" ht="103" customHeight="1">
      <x:c r="A21" s="22" t="str">
        <x:v>HUB-04</x:v>
      </x:c>
      <x:c r="B21" s="24" t="str">
        <x:v>14, 15</x:v>
      </x:c>
      <x:c r="C21" s="22" t="str">
        <x:v>P1</x:v>
      </x:c>
      <x:c r="D21" s="23" t="str">
        <x:v>Implémenté</x:v>
      </x:c>
      <x:c r="E21" s="23" t="str">
        <x:v>Réussis</x:v>
      </x:c>
      <x:c r="F21" s="23" t="str">
        <x:v>Non réalisé</x:v>
      </x:c>
      <x:c r="G21" s="22" t="str">
        <x:v>Préparation Extinction avec quatre cartes de variantes, aperçu de la signature et carrière XP/runs/victoires.
Partie FPS dans une scène couvrant le viewport, avec objectif, PV/armure/munitions et commandes superposés aux bords. Radar, réticule, arme et simulation sont conservés.
Suppression du doublon visuel des mêmes statistiques dans le canevas, puisque toutes restent présentes dans un HUD DOM lisible et accessible.</x:v>
      </x:c>
      <x:c r="H21" s="22" t="str">
        <x:v>src/components/HubScreen.jsx
src/components/HubImmersion.css
src/components/useSceneViewport.js</x:v>
      </x:c>
      <x:c r="I21" s="22" t="str">
        <x:v>extinctionTiming : simulation réelle, dégâts, déplacements et recharge identiques à 30/60/120/144 Hz ; pause et visibilité sans rattrapage.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21" s="22" t="str">
        <x:v>Recette tactile et contrôle de la densité des boutons sur petits écrans encore nécessaires en preview.</x:v>
      </x:c>
      <x:c r="K21" s="22" t="str">
        <x:v>Aucune preuve navigateur de la branche enregistrée.</x:v>
      </x:c>
      <x:c r="L21" s="26" t="str">
        <x:f>IFERROR(HYPERLINK("https://github.com/darknigthmare/multiverse-breach/blob/codex/immersive-ui-audit-2026-10-25/src/components/HubScreen.jsx","Code de la branche"),"Code de la branche")</x:f>
        <x:v>Code de la branche</x:v>
      </x:c>
      <x:c r="M21" s="26" t="str">
        <x:f>IFERROR(HYPERLINK("https://github.com/darknigthmare/multiverse-breach/blob/codex/immersive-ui-audit-2026-10-25/docs/ui-immersion/hub-implementation.json","HUB-04"),"HUB-04")</x:f>
        <x:v>HUB-04</x:v>
      </x:c>
      <x:c r="N21" s="22" t="str">
        <x:v>S14;S15;</x:v>
      </x:c>
      <x:c r="O21" s="22" t="str">
        <x:v>Écrans</x:v>
      </x:c>
    </x:row>
    <x:row r="22" ht="142" customHeight="1">
      <x:c r="A22" s="21" t="str">
        <x:v>HUB-05</x:v>
      </x:c>
      <x:c r="B22" s="25" t="str">
        <x:v>16</x:v>
      </x:c>
      <x:c r="C22" s="21" t="str">
        <x:v>P0</x:v>
      </x:c>
      <x:c r="D22" s="23" t="str">
        <x:v>Implémenté</x:v>
      </x:c>
      <x:c r="E22" s="23" t="str">
        <x:v>Réussis</x:v>
      </x:c>
      <x:c r="F22" s="23" t="str">
        <x:v>Non réalisé</x:v>
      </x:c>
      <x:c r="G22" s="21" t="str">
        <x:v>Chaque run reçoit un identifiant unique. Le rapport de verdict est consommé par setGold, setBreachShards et setActivityProgress.
Or et fragments affichés sont transférés aux compteurs réels. XP Extinction sauvegardée dans extinctionCareer, avec nombre de runs, victoires, reçu et dernier rapport ; journal conservé.
Le reçu empêche un versement répété. Abandon et rapport mal formé ne donnent pas de récompense. Les gains de repli du moteur sont respectés.
Le résultat demeure en scène dédiée jusqu’à Continuer ; sa validation ne verse rien une seconde fois.</x:v>
      </x:c>
      <x:c r="H22" s="21" t="str">
        <x:v>src/components/HubScreen.jsx
src/game/immersiveHubState.js
scripts/immersiveHubState.test.mjs</x:v>
      </x:c>
      <x:c r="I22" s="21" t="str">
        <x:v>Exécution du vrai callback Hub dans le test : +172 Or / +45 fragments / +210 XP une seule fois sur double rapport ; aucun appel de sortie avant acknowledgement ; bilan défaite distinct.
Sérialisation/rechargement du reçu : même rapport refusé ; données de progression sans rapport conservées.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22" s="21" t="str">
        <x:v>Les gains sont ceux du moteur existant ; aucune révision économique ajoutée.
Une victoire jouée de bout en bout dans chaque variante reste à vérifier en preview. La preuve actuelle couvre le callback réel et la simulation déterministe.</x:v>
      </x:c>
      <x:c r="K22" s="21" t="str">
        <x:v>Aucune preuve navigateur de la branche enregistrée.</x:v>
      </x:c>
      <x:c r="L22" s="27" t="str">
        <x:f>IFERROR(HYPERLINK("https://github.com/darknigthmare/multiverse-breach/blob/codex/immersive-ui-audit-2026-10-25/src/components/HubScreen.jsx","Code de la branche"),"Code de la branche")</x:f>
        <x:v>Code de la branche</x:v>
      </x:c>
      <x:c r="M22" s="27" t="str">
        <x:f>IFERROR(HYPERLINK("https://github.com/darknigthmare/multiverse-breach/blob/codex/immersive-ui-audit-2026-10-25/docs/ui-immersion/hub-implementation.json","HUB-05"),"HUB-05")</x:f>
        <x:v>HUB-05</x:v>
      </x:c>
      <x:c r="N22" s="21" t="str">
        <x:v>S16;</x:v>
      </x:c>
      <x:c r="O22" s="21" t="str">
        <x:v>Écrans</x:v>
      </x:c>
    </x:row>
    <x:row r="23" ht="129" customHeight="1">
      <x:c r="A23" s="22" t="str">
        <x:v>HUB-06</x:v>
      </x:c>
      <x:c r="B23" s="24" t="str">
        <x:v>17, 18, 19</x:v>
      </x:c>
      <x:c r="C23" s="22" t="str">
        <x:v>P1</x:v>
      </x:c>
      <x:c r="D23" s="23" t="str">
        <x:v>Implémenté</x:v>
      </x:c>
      <x:c r="E23" s="23" t="str">
        <x:v>Réussis</x:v>
      </x:c>
      <x:c r="F23" s="23" t="str">
        <x:v>Partiel</x:v>
      </x:c>
      <x:c r="G23" s="22" t="str">
        <x:v>Préparation conserve Mirelle, tous les châssis/circuits disponibles et l’accélération assistée. Garage, carrière, commandes et informations de circuit regroupés dans un terminal accessible avant et pendant la course.
Le terminal de course suspend réellement l’horloge et vide les touches maintenues. Une amélioration met à jour le moteur existant au lieu de redémarrer une course.
Scène de course sur tout le viewport, cadre caméra 960×540 conservé sans déformation, HUD et actions contextuelles superposés.
Bilan conservé en scène jusqu’à Rejouer ou Changer de circuit ; les contrôles de la course derrière le bilan deviennent inertes.
Suite du 26/10 : correction du redémarrage involontaire lors d’un rendu parent ou d’un achat garage. Revanche explicite avec nouvelle session, sans récompenser les anciens callbacks. Maintien des touches par pointeur ; relâchement hors bouton et activation clavier séparés. Écran de récupération après erreur de rendu. HUD portrait visible et agrandissable ; cache remise à zéro à la revanche.</x:v>
      </x:c>
      <x:c r="H23" s="22" t="str">
        <x:v>src/components/RaceMode.jsx
src/components/HubScreen.jsx
src/components/HubImmersion.css
src/components/ImmersiveDrawer.jsx
scripts/fixedStepClock.test.mjs
src/game/raceSessionControls.js
scripts/raceSessionControls.test.mjs
scripts/browserRaceImmersion.py
scripts/fixtures/raceLifecycleHarness.jsx
.github/workflows/race-ui.yml</x:v>
      </x:c>
      <x:c r="I23" s="22" t="str">
        <x:v>Tests fighterRaceGameplayAudit et kartCareerSave réussis.
fixedStepClock enrichi : ouverture/fermeture garage ne reconstruit pas le moteur et ne rattrape pas le temps suspendu.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
Suite Course : 40/40 tests unitaires, 6/6 parcours Chromium hors ligne ; aucun avertissement de lint sur les six modules/tests modifiés. Échec avant correction reproduit : moteur recréé par le parent et par l’achat ; corrigé avec assertions sur l’identité du moteur, le temps et le tour.</x:v>
      </x:c>
      <x:c r="J23" s="22" t="str">
        <x:v>Ratio 16:9 conservé : bandes de fond possibles sans recadrage. Six parcours isolés, carrière préparée et deux erreurs injectées ; ce n’est pas une campagne complète. La télémétrie portrait est lisible dans le DOM, mais des libellés du moteur restent en français. Absence locale des médias ; contrôle des sept images requis par le nouveau workflow. Manette, multitouch réel et cloud restent non testés.</x:v>
      </x:c>
      <x:c r="K23" s="22" t="str">
        <x:v>Capture et résultats Chromium hors ligne : race-ui-qa/browser-final ; 390×844, 844×390, 1280×900, 2560×1080. Composants réels, données et résultat préparés.</x:v>
      </x:c>
      <x:c r="L23" s="26" t="str">
        <x:f>IFERROR(HYPERLINK("https://github.com/darknigthmare/multiverse-breach/blob/codex/immersive-ui-audit-2026-10-25/src/components/RaceMode.jsx","Code de la branche"),"Code de la branche")</x:f>
        <x:v>Code de la branche</x:v>
      </x:c>
      <x:c r="M23" s="26" t="str">
        <x:f>IFERROR(HYPERLINK("https://github.com/darknigthmare/multiverse-breach/blob/codex/immersive-ui-audit-2026-10-25/docs/ui-immersion/race-continuation-2026-10-26.json","Suite Course et preuves"),"Suite Course et preuves")</x:f>
        <x:v>Suite Course et preuves</x:v>
      </x:c>
      <x:c r="N23" s="22" t="str">
        <x:v>S17;S18;S19;</x:v>
      </x:c>
      <x:c r="O23" s="22" t="str">
        <x:v>Écrans</x:v>
      </x:c>
    </x:row>
    <x:row r="24" ht="142" customHeight="1">
      <x:c r="A24" s="21" t="str">
        <x:v>HUB-07</x:v>
      </x:c>
      <x:c r="B24" s="25" t="str">
        <x:v>20</x:v>
      </x:c>
      <x:c r="C24" s="21" t="str">
        <x:v>P1</x:v>
      </x:c>
      <x:c r="D24" s="23" t="str">
        <x:v>Implémenté</x:v>
      </x:c>
      <x:c r="E24" s="23" t="str">
        <x:v>Réussis</x:v>
      </x:c>
      <x:c r="F24" s="23" t="str">
        <x:v>Non réalisé</x:v>
      </x:c>
      <x:c r="G24" s="21" t="str">
        <x:v>Lobby de préparation en quatre étapes librement revisitées : Mode, Équipes, Arène, Règles. Résumé persistant et lancement à la fin de la préparation.
Tous les choix sont conservés : quatre moteurs, CPU/P2 local, équipes/menaces, arène, difficulté, musiques, super terrain, objets/dangers, variante/intensité/topologie mêlée, pré-match et cosmétiques du preset.
Aperçus de héros via le renderer existant. Le preset reste sauvegardé indépendamment de l’étape ; aucune progression de campagne attribuée aux simulations.
onPauseRequest transmis aux moteurs. Le verdict est mémorisé ; seule la validation onBattleEnd termine la session Custom.
Libellés de règles expliquent l’effet joueur, sans jargon de production P5/runtime.</x:v>
      </x:c>
      <x:c r="H24" s="21" t="str">
        <x:v>src/components/CustomBattleMode.jsx
src/components/HubImmersion.css</x:v>
      </x:c>
      <x:c r="I24" s="21" t="str">
        <x:v>customBattle.test.mjs : succès (42 cas), y compris contenu choisi, limites de roster, CPU/P2, aucune récompense campagne et contrat de pause.
Oxlint JSX : succès.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24" s="21" t="str">
        <x:v>Les menaces restent choisies dans le catalogue existant avec recherche et règles existantes ; aucune menace ni arène n’est débloquée par cette refonte.
Parcours des quatre étapes dans les quatre moteurs à vérifier visuellement.</x:v>
      </x:c>
      <x:c r="K24" s="21" t="str">
        <x:v>Aucune preuve navigateur de la branche enregistrée.</x:v>
      </x:c>
      <x:c r="L24" s="27" t="str">
        <x:f>IFERROR(HYPERLINK("https://github.com/darknigthmare/multiverse-breach/blob/codex/immersive-ui-audit-2026-10-25/src/components/CustomBattleMode.jsx","Code de la branche"),"Code de la branche")</x:f>
        <x:v>Code de la branche</x:v>
      </x:c>
      <x:c r="M24" s="27" t="str">
        <x:f>IFERROR(HYPERLINK("https://github.com/darknigthmare/multiverse-breach/blob/codex/immersive-ui-audit-2026-10-25/docs/ui-immersion/hub-implementation.json","HUB-07"),"HUB-07")</x:f>
        <x:v>HUB-07</x:v>
      </x:c>
      <x:c r="N24" s="21" t="str">
        <x:v>S20;</x:v>
      </x:c>
      <x:c r="O24" s="21" t="str">
        <x:v>Écrans</x:v>
      </x:c>
    </x:row>
    <x:row r="25" ht="103" customHeight="1">
      <x:c r="A25" s="22" t="str">
        <x:v>HUB-08</x:v>
      </x:c>
      <x:c r="B25" s="24" t="str">
        <x:v>25</x:v>
      </x:c>
      <x:c r="C25" s="22" t="str">
        <x:v>P1</x:v>
      </x:c>
      <x:c r="D25" s="23" t="str">
        <x:v>Implémenté</x:v>
      </x:c>
      <x:c r="E25" s="23" t="str">
        <x:v>Réussis</x:v>
      </x:c>
      <x:c r="F25" s="23" t="str">
        <x:v>Non réalisé</x:v>
      </x:c>
      <x:c r="G25" s="22" t="str">
        <x:v>Barre dédiée de 56px superposée au monde et menu de pause existant conservé avec focus/inert.
Sections Partie, Options et Commandes. Options intègre les réglages d’affichage partagés, plein écran système, AudioControl, deux volumes et état réseau.
L’accès aux options laisse la simulation gelée. Échap respecte les panneaux modaux plus profonds.
Course, Extinction et Custom conservent leurs résultats dans l’enveloppe jusqu’au choix explicite.</x:v>
      </x:c>
      <x:c r="H25" s="22" t="str">
        <x:v>src/components/HubScreen.jsx
src/components/HubImmersion.css
src/components/ImmersiveDrawer.jsx</x:v>
      </x:c>
      <x:c r="I25" s="22" t="str">
        <x:v>Contrats pause customBattle et fixedStepClock réussis.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25" s="22" t="str">
        <x:v>Les moteurs qui dessinent leurs jauges en haut réservent 56px au plan de jeu ; le décor couvre néanmoins le viewport.
Le navigateur reste décisionnaire de l’autorisation du plein écran système.</x:v>
      </x:c>
      <x:c r="K25" s="22" t="str">
        <x:v>Aucune preuve navigateur de la branche enregistrée.</x:v>
      </x:c>
      <x:c r="L25" s="26" t="str">
        <x:f>IFERROR(HYPERLINK("https://github.com/darknigthmare/multiverse-breach/blob/codex/immersive-ui-audit-2026-10-25/src/components/HubScreen.jsx","Code de la branche"),"Code de la branche")</x:f>
        <x:v>Code de la branche</x:v>
      </x:c>
      <x:c r="M25" s="26" t="str">
        <x:f>IFERROR(HYPERLINK("https://github.com/darknigthmare/multiverse-breach/blob/codex/immersive-ui-audit-2026-10-25/docs/ui-immersion/hub-implementation.json","HUB-08"),"HUB-08")</x:f>
        <x:v>HUB-08</x:v>
      </x:c>
      <x:c r="N25" s="22" t="str">
        <x:v>S25;</x:v>
      </x:c>
      <x:c r="O25" s="22" t="str">
        <x:v>Écrans</x:v>
      </x:c>
    </x:row>
    <x:row r="26" ht="103" customHeight="1">
      <x:c r="A26" s="21" t="str">
        <x:v>HUB-09</x:v>
      </x:c>
      <x:c r="B26" s="25" t="str">
        <x:v>28, 29, 30</x:v>
      </x:c>
      <x:c r="C26" s="21" t="str">
        <x:v>P1</x:v>
      </x:c>
      <x:c r="D26" s="23" t="str">
        <x:v>Implémenté</x:v>
      </x:c>
      <x:c r="E26" s="23" t="str">
        <x:v>Réussis</x:v>
      </x:c>
      <x:c r="F26" s="23" t="str">
        <x:v>Non réalisé</x:v>
      </x:c>
      <x:c r="G26" s="21" t="str">
        <x:v>Fiche de héros avec aperçu/statistiques et actions de niveau au premier plan ; origines/doctrine/dossier et apparences/garde-robe dans des sections ouvrables.
Chaque talent devient un vrai bouton avec aria-pressed : entrée clavier Entrée/Espace et focus visibles.
Liste des héros, équipe/réserves, propositions de composition et profil partagent le nouvel espace principal ; pagination et filtres existants sont conservés.
Le mobile empile la fiche et l’aperçu sans forcer les deux colonnes desktop.</x:v>
      </x:c>
      <x:c r="H26" s="21" t="str">
        <x:v>src/components/HubScreen.jsx
src/components/HubImmersion.css</x:v>
      </x:c>
      <x:c r="I26" s="21" t="str">
        <x:v>squadPreparation, catalogPagination et anchorCustomization réussis.
Oxlint : aucun avertissement.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26" s="21" t="str">
        <x:v>Les talents n’ont pas été rééquilibrés. Le profil garde les fonctionnalités locales existantes ; aucun multijoueur ni guilde inventé.
Recette visuelle de l’aperçu et navigation des talents au clavier à réaliser en preview.</x:v>
      </x:c>
      <x:c r="K26" s="21" t="str">
        <x:v>Aucune preuve navigateur de la branche enregistrée.</x:v>
      </x:c>
      <x:c r="L26" s="27" t="str">
        <x:f>IFERROR(HYPERLINK("https://github.com/darknigthmare/multiverse-breach/blob/codex/immersive-ui-audit-2026-10-25/src/components/HubScreen.jsx","Code de la branche"),"Code de la branche")</x:f>
        <x:v>Code de la branche</x:v>
      </x:c>
      <x:c r="M26" s="27" t="str">
        <x:f>IFERROR(HYPERLINK("https://github.com/darknigthmare/multiverse-breach/blob/codex/immersive-ui-audit-2026-10-25/docs/ui-immersion/hub-implementation.json","HUB-09"),"HUB-09")</x:f>
        <x:v>HUB-09</x:v>
      </x:c>
      <x:c r="N26" s="21" t="str">
        <x:v>S28;S29;S30;</x:v>
      </x:c>
      <x:c r="O26" s="21" t="str">
        <x:v>Écrans</x:v>
      </x:c>
    </x:row>
    <x:row r="27" ht="116" customHeight="1">
      <x:c r="A27" s="22" t="str">
        <x:v>HUB-10</x:v>
      </x:c>
      <x:c r="B27" s="24" t="str">
        <x:v>31, 32, 34</x:v>
      </x:c>
      <x:c r="C27" s="22" t="str">
        <x:v>P1</x:v>
      </x:c>
      <x:c r="D27" s="23" t="str">
        <x:v>Implémenté</x:v>
      </x:c>
      <x:c r="E27" s="23" t="str">
        <x:v>Réussis</x:v>
      </x:c>
      <x:c r="F27" s="23" t="str">
        <x:v>Non réalisé</x:v>
      </x:c>
      <x:c r="G27" s="22" t="str">
        <x:v>Équipement : comparaison explicite de chaque bonus de relique, incluant les statistiques perdues en remplaçant l’emplacement. Les deltas sont nommés bonus de relique, sans prétendre être les attributs finaux du combat.
Lore des objets et entrées canon du Codex consultables dans des sections natives ouvrables. Aucun texte supprimé.
Boutique et inventaire utilisent la surface principale du jeu avec leurs prix, compatibilités, équipements attribués, fusion et filtres inchangés.</x:v>
      </x:c>
      <x:c r="H27" s="22" t="str">
        <x:v>src/components/HubScreen.jsx
src/components/HubImmersion.css
src/game/immersiveHubState.js
scripts/immersiveHubState.test.mjs</x:v>
      </x:c>
      <x:c r="I27" s="22" t="str">
        <x:v>Test de comparaison : ATK +3, SPD +2 et HP −45 correctement conservés pour le remplacement d’une relique.
catalogPagination : succès.
Oxlint sur les six sources du lot : succès, aucun avertissement.
11 fichiers de suites ciblées réussis le 25 octobre 2026 : immersiveHubState, extinctionTiming, mosaicCityRuntime, fixedStepClock, customBattle, fighterRaceGameplayAudit, kartCareerSave, catalogPagination, squadPreparation, ocCampaignUiProgress, anchorCustomization.
git diff --check : succès.</x:v>
      </x:c>
      <x:c r="J27" s="22" t="str">
        <x:v>La comparaison concerne les bonus additifs du slot relique ; les multiplicateurs de synergie/talent et objets événementiels ne sont pas estimés comme des statistiques finales.
Les actions d’achat et fusion restent celles du jeu ; elles n’ont pas été réécrites.</x:v>
      </x:c>
      <x:c r="K27" s="22" t="str">
        <x:v>Aucune preuve navigateur de la branche enregistrée.</x:v>
      </x:c>
      <x:c r="L27" s="26" t="str">
        <x:f>IFERROR(HYPERLINK("https://github.com/darknigthmare/multiverse-breach/blob/codex/immersive-ui-audit-2026-10-25/src/components/HubScreen.jsx","Code de la branche"),"Code de la branche")</x:f>
        <x:v>Code de la branche</x:v>
      </x:c>
      <x:c r="M27" s="26" t="str">
        <x:f>IFERROR(HYPERLINK("https://github.com/darknigthmare/multiverse-breach/blob/codex/immersive-ui-audit-2026-10-25/docs/ui-immersion/hub-implementation.json","HUB-10"),"HUB-10")</x:f>
        <x:v>HUB-10</x:v>
      </x:c>
      <x:c r="N27" s="22" t="str">
        <x:v>S31;S32;S34;</x:v>
      </x:c>
      <x:c r="O27" s="22" t="str">
        <x:v>Écrans</x:v>
      </x:c>
    </x:row>
    <x:row r="28" ht="142" customHeight="1">
      <x:c r="A28" s="21" t="str">
        <x:v>HUB-11</x:v>
      </x:c>
      <x:c r="B28" s="25" t="str">
        <x:v>06, 07, 08, 09, 10, 11, 25, 26</x:v>
      </x:c>
      <x:c r="C28" s="21" t="str">
        <x:v>P0</x:v>
      </x:c>
      <x:c r="D28" s="23" t="str">
        <x:v>Implémenté</x:v>
      </x:c>
      <x:c r="E28" s="23" t="str">
        <x:v>Réussis</x:v>
      </x:c>
      <x:c r="F28" s="23" t="str">
        <x:v>Non réalisé</x:v>
      </x:c>
      <x:c r="G28" s="21" t="str">
        <x:v>La ref hubNavigationRef détenue par App conserve les choix d’interface entre les montages du Hub : destination, catégorie, mission de briefing, groupe/arc, sous-vues, filtres média/mode, recherches et statut du répertoire, recherche des groupes, héros sélectionné et pagination/filtres des cinq catalogues.
Un lancement direct mémorise explicitement la mission avant la navigation vers App. Les conditions d’accès sont toujours évaluées avant ce transfert.
L’effet de changement de catégorie ignore le premier montage ; un vrai changement réinitialise les filtres de sa catégorie, en préservant les demandes contextuelles venant de la Cité.
Cette mémoire de navigation est distincte des sauvegardes et n’inclut ni session active, pause, moteur, récompense ni état de progression.</x:v>
      </x:c>
      <x:c r="H28" s="21" t="str">
        <x:v>src/components/HubScreen.jsx
src/game/immersiveHubState.js
scripts/immersiveHubState.test.mjs</x:v>
      </x:c>
      <x:c r="I28" s="21" t="str">
        <x:v>Douze tests fonctionnels immersiveHubState réussis : conservation/restauration UI, exclusion des simulations et sauvegardes, exécution du vrai handler de lancement et de l’effet de catégorie, déplacement/restauration Cité, récompenses Extinction et comparaison de relique.
catalogPagination, ocCampaignUiProgress et mosaicCityRuntime réussis après ajout de la mémoire.</x:v>
      </x:c>
      <x:c r="J28" s="21" t="str">
        <x:v>Cette mémoire vit pendant la session App ; un rechargement complet du navigateur reprend les préférences d’interface initiales. La progression reste dans le système de sauvegarde existant.
Les dialogues, vidéos/transmissions ouvertes, simulation en cours et panneau de pause ne sont pas rouverts au retour.
Les choix réévalués comme indisponibles (héros/groupe/catalogue) continuent de respecter leurs contrôles et bornages existants.
Le parcours aller-retour briefing/combat dans la preview reste à vérifier visuellement.</x:v>
      </x:c>
      <x:c r="K28" s="21" t="str">
        <x:v>Aucune preuve navigateur de la branche enregistrée.</x:v>
      </x:c>
      <x:c r="L28" s="27" t="str">
        <x:f>IFERROR(HYPERLINK("https://github.com/darknigthmare/multiverse-breach/blob/codex/immersive-ui-audit-2026-10-25/src/components/HubScreen.jsx","Code de la branche"),"Code de la branche")</x:f>
        <x:v>Code de la branche</x:v>
      </x:c>
      <x:c r="M28" s="27" t="str">
        <x:f>IFERROR(HYPERLINK("https://github.com/darknigthmare/multiverse-breach/blob/codex/immersive-ui-audit-2026-10-25/docs/ui-immersion/hub-implementation.json","HUB-11"),"HUB-11")</x:f>
        <x:v>HUB-11</x:v>
      </x:c>
      <x:c r="N28" s="21" t="str">
        <x:v>S06;S07;S08;S09;S10;S11;S25;S26;</x:v>
      </x:c>
      <x:c r="O28" s="21" t="str">
        <x:v>Écrans</x:v>
      </x:c>
    </x:row>
    <x:row r="29" ht="285" customHeight="1">
      <x:c r="A29" s="22" t="str">
        <x:v>HUB-12</x:v>
      </x:c>
      <x:c r="B29" s="24" t="str">
        <x:v>06, 12, 13, 15, 16, 18, 19, 25</x:v>
      </x:c>
      <x:c r="C29" s="22" t="str">
        <x:v>P0</x:v>
      </x:c>
      <x:c r="D29" s="23" t="str">
        <x:v>Implémenté</x:v>
      </x:c>
      <x:c r="E29" s="23" t="str">
        <x:v>Réussis</x:v>
      </x:c>
      <x:c r="F29" s="23" t="str">
        <x:v>Non réalisé</x:v>
      </x:c>
      <x:c r="G29" s="22" t="str">
        <x:v>Revue de code après premier commit : les jauges et les dix commandes Extinction partagent désormais un quai à hauteur naturelle. Même principe pour la cache Course et ses commandes ; leur retour à la ligne ne provoque plus de chevauchement lié à des offsets fixes.
La mini-carte Cité et le radar Extinction sont dimensionnés en pixels d’écran, puis convertis en unités du canevas. Leur taille est bornée en portrait, la mini-carte reste au-dessus des commandes tactiles, et le radar garde la barre de session libre.
Les marges utilisateur/système et l’échelle HUD s’appliquent aux quais de commandes. Les bilans Course/Extinction défilent à l’intérieur de leur scène quand la hauteur manque.
Le piège de focus de pause cède les événements Tab à un dialogue enfant qui rend son parent inert. ImmersiveDrawer utilise déjà le gestionnaire modal partagé et suspend correctement son parent.
Les handlers clavier Course et Extinction respectent les boutons natifs et les champs ; Espace ne bloque plus une action du garage en pause. La course ignore les touches du moteur après son verdict.
En-tête du Hub borné en border-box ; compteurs sur un rail horizontal à petite largeur. La console Directive conserve une marge latérale et une colonne sur mobile.
Le raccourci Voir la directive transmet catégorie, mission et arc au changement de vue, au lieu de perdre le briefing dans l’effet de réinitialisation. Les missions indépendantes et univers OC rejoignent leur vraie catégorie.
PV maximum et jauge native progress rétablis dans le HUD Extinction, avec PV courants/max et armure séparée ; le snapshot borne la jauge après dégâts et soins sans modifier le moteur.</x:v>
      </x:c>
      <x:c r="H29" s="22" t="str">
        <x:v>src/components/HubScreen.jsx
src/components/RaceMode.jsx
src/components/HubImmersion.css
src/components/useSceneViewport.js
src/game/immersiveHubState.js
scripts/immersiveHubState.test.mjs
scripts/nonCombatTrial.test.mjs</x:v>
      </x:c>
      <x:c r="I29" s="22" t="str">
        <x:v>Douze tests immersiveHubState passent : ajout des bornes de mini-carte/radar pour 360×800, 844×390, 1366×768, échelles HUD 0,9 et 1,4, marge 32px ; exécution des vrais handlers clavier et du piège de focus pause.
Sept suites ciblées après correction : immersiveHubState, extinctionTiming, mosaicCityRuntime, fixedStepClock, customBattle, shellImmersion et fighterRaceGameplayAudit.
AST JSX validé après déplacement des deux quais, Oxlint sans avertissement et git diff --check réussi.
Le test exécute le vrai raccourci Directive puis l’effet de changement de catégorie et confirme que mission et arc restent sélectionnés.
Gate test:noncombat-trials réussie : les huit fichiers de suites passent. Le contrat Extinction exécute son vrai snapshot (80/200, 0/200 après dégâts, 200/200 après sursoin), vérifie le lien DOM de la jauge et les dimensions/radar aux trois résolutions.</x:v>
      </x:c>
      <x:c r="J29" s="22" t="str">
        <x:v>La vérification des trois dimensions est une vérification mathématique des overlays dessinés et une revue de CSS ; aucun rendu navigateur des changements n’est revendiqué.
Le texte des scènes et les jauges historiques dessinées par les autres moteurs ne deviennent pas tous vectoriels ni uniformément redimensionnables. La recette preview doit vérifier aussi les préférences agrandies.
Le guide de Cité et les libellés longs doivent encore être contrôlés sur les faibles hauteurs de viewport.</x:v>
      </x:c>
      <x:c r="K29" s="22" t="str">
        <x:v>Aucune preuve navigateur de la branche enregistrée.</x:v>
      </x:c>
      <x:c r="L29" s="26" t="str">
        <x:f>IFERROR(HYPERLINK("https://github.com/darknigthmare/multiverse-breach/blob/codex/immersive-ui-audit-2026-10-25/src/components/HubScreen.jsx","Code de la branche"),"Code de la branche")</x:f>
        <x:v>Code de la branche</x:v>
      </x:c>
      <x:c r="M29" s="26" t="str">
        <x:f>IFERROR(HYPERLINK("https://github.com/darknigthmare/multiverse-breach/blob/codex/immersive-ui-audit-2026-10-25/docs/ui-immersion/hub-implementation.json","HUB-12"),"HUB-12")</x:f>
        <x:v>HUB-12</x:v>
      </x:c>
      <x:c r="N29" s="22" t="str">
        <x:v>S06;S12;S13;S15;S16;S18;S19;S25;</x:v>
      </x:c>
      <x:c r="O29" s="22" t="str">
        <x:v>Écrans</x:v>
      </x:c>
    </x:row>
    <x:row r="30" ht="129" customHeight="1">
      <x:c r="A30" s="21" t="str">
        <x:v>COMBAT-01</x:v>
      </x:c>
      <x:c r="B30" s="25" t="str">
        <x:v>21, 22, 23, T01, T03, T04</x:v>
      </x:c>
      <x:c r="C30" s="21" t="str">
        <x:v>P1</x:v>
      </x:c>
      <x:c r="D30" s="23" t="str">
        <x:v>Implémenté</x:v>
      </x:c>
      <x:c r="E30" s="23" t="str">
        <x:v>Réussis</x:v>
      </x:c>
      <x:c r="F30" s="23" t="str">
        <x:v>Non réalisé</x:v>
      </x:c>
      <x:c r="G30" s="21" t="str">
        <x:v>RPG, Tactics, mêlée et épreuves hors combat utilisent une scène fixe couvrant le viewport. Le cadre centré et le tableau de commandes sous le canevas sont remplacés par une scène et des couches contextuelles.
Le décor d’univers existant couvre la scène ; l’arène logique 1040 × 460 conserve ses proportions. La barre des sessions dédiées réserve 56 px pour protéger le HUD du moteur.
Sélection, glissement tactique et ancrage du zoom utilisent la même transformation que le canevas affiché. Les bandes de décor ne déclenchent pas de commande.
Le HUD respecte les marges de sécurité et les préférences partagées. Les formats étroits ou bas peuvent replier les détails en gardant les commandes accessibles.</x:v>
      </x:c>
      <x:c r="H30" s="21" t="str">
        <x:v>src/components/GameCanvas.jsx
src/components/combat-immersion.css
src/game/combatViewport.js
scripts/combatViewport.test.mjs</x:v>
      </x:c>
      <x:c r="I30" s="21" t="str">
        <x:v>scripts/combatViewport.test.mjs : 10/10 réussis ; géométrie desktop, portrait, paysage, ultralarge, décalage, rejet des bandes de décor et contrat de résultat.
Les cinq composants de combat sont analysés par transformWithOxc de Vite.</x:v>
      </x:c>
      <x:c r="J30" s="21" t="str">
        <x:v>Aucune capture locale de la branche revendiquée. Contrôle visuel et tactile à effectuer sur la preview.
La géométrie logique de jeu reste inchangée : les ratios très larges ou hauts reçoivent un fond de décor, sans étirer ni couper le combat.</x:v>
      </x:c>
      <x:c r="K30" s="21" t="str">
        <x:v>Aucune preuve navigateur de la branche enregistrée.</x:v>
      </x:c>
      <x:c r="L30" s="27" t="str">
        <x:f>IFERROR(HYPERLINK("https://github.com/darknigthmare/multiverse-breach/blob/codex/immersive-ui-audit-2026-10-25/src/components/GameCanvas.jsx","Code de la branche"),"Code de la branche")</x:f>
        <x:v>Code de la branche</x:v>
      </x:c>
      <x:c r="M30" s="27" t="str">
        <x:f>IFERROR(HYPERLINK("https://github.com/darknigthmare/multiverse-breach/blob/codex/immersive-ui-audit-2026-10-25/docs/ui-immersion/combat-implementation.json","COMBAT-01"),"COMBAT-01")</x:f>
        <x:v>COMBAT-01</x:v>
      </x:c>
      <x:c r="N30" s="21" t="str">
        <x:v>S21;S22;S23;</x:v>
      </x:c>
      <x:c r="O30" s="21" t="str">
        <x:v>Écrans</x:v>
      </x:c>
    </x:row>
    <x:row r="31" ht="116" customHeight="1">
      <x:c r="A31" s="22" t="str">
        <x:v>COMBAT-02</x:v>
      </x:c>
      <x:c r="B31" s="24" t="str">
        <x:v>21, T02, T08</x:v>
      </x:c>
      <x:c r="C31" s="22" t="str">
        <x:v>P1</x:v>
      </x:c>
      <x:c r="D31" s="23" t="str">
        <x:v>Implémenté</x:v>
      </x:c>
      <x:c r="E31" s="23" t="str">
        <x:v>Réussis</x:v>
      </x:c>
      <x:c r="F31" s="23" t="str">
        <x:v>Non réalisé</x:v>
      </x:c>
      <x:c r="G31" s="22" t="str">
        <x:v>PV et ATB restent dans une bande d’escouade compacte ; les actions principales sont contextuelles en bord de terrain.
Le ciblage existant devient une couche bornée avec confirmation, annulation, estimations, sources et attente. En portrait, il remplace temporairement le dock d’actions.
Un contrôle Auto et la vitesse restent dans le HUD ; seul le doublon visuel Auto est retiré.
Reliques, événements équipés, soutien, invocations, supers terrain, assists, ennemi P2, RAAM, Pirates Curse, munitions Black Pearl et autres panneaux restent disponibles dans l’Arsenal en direct.</x:v>
      </x:c>
      <x:c r="H31" s="22" t="str">
        <x:v>src/components/GameCanvas.jsx
src/components/CombatDrawer.jsx
src/components/combat-immersion.css</x:v>
      </x:c>
      <x:c r="I31" s="22" t="str">
        <x:v>scripts/rpgTargetingPresentation.test.mjs : 2/2 réussis.
scripts/customBattle.test.mjs : 42/42 réussis, avec les routes réelles RPG/tactiques et les ordonnanceurs suspendus.
scripts/fixedStepClock.test.mjs : 10/10 réussis ; remise à zéro de l’horloge d’attente du ciblage RPG conservée.</x:v>
      </x:c>
      <x:c r="J31" s="22" t="str">
        <x:v>L’Arsenal est explicitement indiqué en direct et ne suspend pas le combat. Briefing, commandes et affichage suspendent la simulation.</x:v>
      </x:c>
      <x:c r="K31" s="22" t="str">
        <x:v>Aucune preuve navigateur de la branche enregistrée.</x:v>
      </x:c>
      <x:c r="L31" s="26" t="str">
        <x:f>IFERROR(HYPERLINK("https://github.com/darknigthmare/multiverse-breach/blob/codex/immersive-ui-audit-2026-10-25/src/components/GameCanvas.jsx","Code de la branche"),"Code de la branche")</x:f>
        <x:v>Code de la branche</x:v>
      </x:c>
      <x:c r="M31" s="26" t="str">
        <x:f>IFERROR(HYPERLINK("https://github.com/darknigthmare/multiverse-breach/blob/codex/immersive-ui-audit-2026-10-25/docs/ui-immersion/combat-implementation.json","COMBAT-02"),"COMBAT-02")</x:f>
        <x:v>COMBAT-02</x:v>
      </x:c>
      <x:c r="N31" s="22" t="str">
        <x:v>S21;</x:v>
      </x:c>
      <x:c r="O31" s="22" t="str">
        <x:v>Écrans</x:v>
      </x:c>
    </x:row>
    <x:row r="32" ht="116" customHeight="1">
      <x:c r="A32" s="21" t="str">
        <x:v>COMBAT-03</x:v>
      </x:c>
      <x:c r="B32" s="25" t="str">
        <x:v>22, T02, T08</x:v>
      </x:c>
      <x:c r="C32" s="21" t="str">
        <x:v>P1</x:v>
      </x:c>
      <x:c r="D32" s="23" t="str">
        <x:v>Implémenté</x:v>
      </x:c>
      <x:c r="E32" s="23" t="str">
        <x:v>Réussis</x:v>
      </x:c>
      <x:c r="F32" s="23" t="str">
        <x:v>Non réalisé</x:v>
      </x:c>
      <x:c r="G32" s="21" t="str">
        <x:v>Commandes tactiques, annulation de ciblage et Fin du tour protégée restent accessibles sans défilement de page.
L’unité active et ses PA de déplacement apparaissent près des actions ; chronologie, coûts, portées, couvertures et marqueurs de mission du canevas sont conservés.
Les consignes d’escorte et les panneaux TacticsSupportPanel, RexEncounterPanel et SourceScenePanel restent disponibles dans le briefing ou le tiroir en direct approprié.
La distinction clic/glissement et la capture du pointeur sont conservées ; les coordonnées tiennent compte de l’affichage proportionnel.</x:v>
      </x:c>
      <x:c r="H32" s="21" t="str">
        <x:v>src/components/GameCanvas.jsx
src/game/combatViewport.js
src/components/combat-immersion.css</x:v>
      </x:c>
      <x:c r="I32" s="21" t="str">
        <x:v>Cas de géométrie tactique de scripts/combatViewport.test.mjs réussis.
Régressions des actions protégées et de la pause dans scripts/customBattle.test.mjs réussies.
Transitions pause/visibilité de l’horloge GameCanvas réussies.</x:v>
      </x:c>
      <x:c r="J32" s="21" t="str">
        <x:v>Aucune règle tactique, durée, réserve de mouvement, aptitude source, portée ni valeur de dégâts modifiée.</x:v>
      </x:c>
      <x:c r="K32" s="21" t="str">
        <x:v>Aucune preuve navigateur de la branche enregistrée.</x:v>
      </x:c>
      <x:c r="L32" s="27" t="str">
        <x:f>IFERROR(HYPERLINK("https://github.com/darknigthmare/multiverse-breach/blob/codex/immersive-ui-audit-2026-10-25/src/components/GameCanvas.jsx","Code de la branche"),"Code de la branche")</x:f>
        <x:v>Code de la branche</x:v>
      </x:c>
      <x:c r="M32" s="27" t="str">
        <x:f>IFERROR(HYPERLINK("https://github.com/darknigthmare/multiverse-breach/blob/codex/immersive-ui-audit-2026-10-25/docs/ui-immersion/combat-implementation.json","COMBAT-03"),"COMBAT-03")</x:f>
        <x:v>COMBAT-03</x:v>
      </x:c>
      <x:c r="N32" s="21" t="str">
        <x:v>S22;</x:v>
      </x:c>
      <x:c r="O32" s="21" t="str">
        <x:v>Écrans</x:v>
      </x:c>
    </x:row>
    <x:row r="33" ht="168" customHeight="1">
      <x:c r="A33" s="22" t="str">
        <x:v>COMBAT-04</x:v>
      </x:c>
      <x:c r="B33" s="24" t="str">
        <x:v>23, T02, T04, T08</x:v>
      </x:c>
      <x:c r="C33" s="22" t="str">
        <x:v>P1</x:v>
      </x:c>
      <x:c r="D33" s="23" t="str">
        <x:v>Implémenté</x:v>
      </x:c>
      <x:c r="E33" s="23" t="str">
        <x:v>Réussis</x:v>
      </x:c>
      <x:c r="F33" s="23" t="str">
        <x:v>Non réalisé</x:v>
      </x:c>
      <x:c r="G33" s="22" t="str">
        <x:v>MeleeControlsPanel sépare les jauges HUD, le tactile et les réglages, avec présentation complète antérieure conservée pour compatibilité.
Garde, charge et état restent dans le HUD ; remappage clavier et réinitialisation passent dans Commandes, en pause.
Déplacement tactile à gauche et attaques à droite ; capture, relâchement, annulation et perte de focus libèrent correctement les touches maintenues.
Le tactile est proposé automatiquement aux pointeurs grossiers et aux petits écrans ; il peut être activé explicitement dans Commandes.
Le doublon DOM de l’annonce avant-match est retiré ; l’annonce du moteur, l’annonce accessible et le raccourci propre à l’entraînement restent présents.
Clavier, fusion manette, P2 local, supers, signatures, assists et panneaux de rencontre sont conservés.</x:v>
      </x:c>
      <x:c r="H33" s="22" t="str">
        <x:v>src/components/GameCanvas.jsx
src/components/MeleeControlsPanel.jsx
src/components/combat-immersion.css</x:v>
      </x:c>
      <x:c r="I33" s="22" t="str">
        <x:v>scripts/meleeInputMap.test.mjs : 7/7 réussis, avec fusion des entrées et déclenchement unique des actions.
scripts/customBattle.test.mjs : 42/42 réussis, dont avant-match et verdict des objectifs.
Les tests de pause et visibilité vérifient la libération des entrées et l’horloge sans remplacer le moteur.</x:v>
      </x:c>
      <x:c r="J33" s="22" t="str">
        <x:v>Manette physique et multitouch restent à vérifier sur appareil. Le suivi ne prétend pas que ces contrôles ou la pause étaient absents de la version auditée.</x:v>
      </x:c>
      <x:c r="K33" s="22" t="str">
        <x:v>Aucune preuve navigateur de la branche enregistrée.</x:v>
      </x:c>
      <x:c r="L33" s="26" t="str">
        <x:f>IFERROR(HYPERLINK("https://github.com/darknigthmare/multiverse-breach/blob/codex/immersive-ui-audit-2026-10-25/src/components/GameCanvas.jsx","Code de la branche"),"Code de la branche")</x:f>
        <x:v>Code de la branche</x:v>
      </x:c>
      <x:c r="M33" s="26" t="str">
        <x:f>IFERROR(HYPERLINK("https://github.com/darknigthmare/multiverse-breach/blob/codex/immersive-ui-audit-2026-10-25/docs/ui-immersion/combat-implementation.json","COMBAT-04"),"COMBAT-04")</x:f>
        <x:v>COMBAT-04</x:v>
      </x:c>
      <x:c r="N33" s="22" t="str">
        <x:v>S23;</x:v>
      </x:c>
      <x:c r="O33" s="22" t="str">
        <x:v>Écrans</x:v>
      </x:c>
    </x:row>
    <x:row r="34" ht="116" customHeight="1">
      <x:c r="A34" s="21" t="str">
        <x:v>COMBAT-05</x:v>
      </x:c>
      <x:c r="B34" s="25" t="str">
        <x:v>24, T02, T03, T04</x:v>
      </x:c>
      <x:c r="C34" s="21" t="str">
        <x:v>P1</x:v>
      </x:c>
      <x:c r="D34" s="23" t="str">
        <x:v>Implémenté</x:v>
      </x:c>
      <x:c r="E34" s="23" t="str">
        <x:v>Réussis</x:v>
      </x:c>
      <x:c r="F34" s="23" t="str">
        <x:v>Partiel</x:v>
      </x:c>
      <x:c r="G34" s="21" t="str">
        <x:v>Lobby versus et scène immersive conservés. Le moteur du duel est créé seulement au lancement ou à une revanche explicite ; les objets recréés par le parent ne réinitialisent plus PV, jauges, temps ou résultat. La prochaine rencontre lit les derniers réglages.</x:v>
      </x:c>
      <x:c r="H34" s="21" t="str">
        <x:v>src/components/FighterMode.jsx
scripts/fixtures/fighterLifecycleHarness.jsx
scripts/browserImmersiveTransitions.py</x:v>
      </x:c>
      <x:c r="I34" s="21" t="str">
        <x:v>68 tests UI ; 40 tests horloge/commandes ; 8/8 nouvelles recettes Chromium et 6/6 anciennes recettes Fighter. Source identique par SHA-256.</x:v>
      </x:c>
      <x:c r="J34" s="21" t="str">
        <x:v>Moteur, hitboxes et équilibrage inchangés. Le navigateur utilise des combattants/états synthétiques : pas de certification artistique, de progression cloud ou de périphérique réel.</x:v>
      </x:c>
      <x:c r="K34" s="21" t="str">
        <x:v>https://github.com/darknigthmare/multiverse-breach/actions/runs/40268408942</x:v>
      </x:c>
      <x:c r="L34" s="27" t="str">
        <x:f>IFERROR(HYPERLINK("https://github.com/darknigthmare/multiverse-breach/blob/codex/immersive-ui-audit-2026-10-25/src/components/FighterMode.jsx","Code de la branche"),"Code de la branche")</x:f>
        <x:v>Code de la branche</x:v>
      </x:c>
      <x:c r="M34" s="27" t="str">
        <x:f>IFERROR(HYPERLINK("https://github.com/darknigthmare/multiverse-breach/blob/codex/immersive-ui-audit-2026-10-25/docs/ui-immersion/combat-implementation.json","COMBAT-05"),"COMBAT-05")</x:f>
        <x:v>COMBAT-05</x:v>
      </x:c>
      <x:c r="N34" s="21" t="str">
        <x:v>S24;</x:v>
      </x:c>
      <x:c r="O34" s="21" t="str">
        <x:v>Écrans</x:v>
      </x:c>
    </x:row>
    <x:row r="35" ht="155" customHeight="1">
      <x:c r="A35" s="22" t="str">
        <x:v>COMBAT-06</x:v>
      </x:c>
      <x:c r="B35" s="24" t="str">
        <x:v>25, 26, T05, T09</x:v>
      </x:c>
      <x:c r="C35" s="22" t="str">
        <x:v>P0</x:v>
      </x:c>
      <x:c r="D35" s="23" t="str">
        <x:v>Implémenté</x:v>
      </x:c>
      <x:c r="E35" s="23" t="str">
        <x:v>Réussis</x:v>
      </x:c>
      <x:c r="F35" s="23" t="str">
        <x:v>Partiel</x:v>
      </x:c>
      <x:c r="G35" s="22" t="str">
        <x:v>Pause, confirmations et résultat conservés. CombatDrawer referme le dialogue natif avant de passer de show() à showModal() ou inversement ; conserve l’élément d’ouverture et restaure le focus après fermeture/démontage.</x:v>
      </x:c>
      <x:c r="H35" s="22" t="str">
        <x:v>src/components/CombatDrawer.jsx
src/game/combatDialogLifecycle.js
scripts/combatDialogLifecycle.test.mjs
scripts/fixtures/combatDrawerHarness.jsx</x:v>
      </x:c>
      <x:c r="I35" s="22" t="str">
        <x:v>9 nouveaux tests de dialogue inclus dans 68 tests UI. Quatre parcours Chromium passent : live↔modal, Échap, maintien de saisie et restitution du focus.</x:v>
      </x:c>
      <x:c r="J35" s="22" t="str">
        <x:v>Transitions natives testées indépendamment ; l’ensemble des combinaisons de menus et une campagne complète restent à parcourir en jeu.</x:v>
      </x:c>
      <x:c r="K35" s="22" t="str">
        <x:v>https://github.com/darknigthmare/multiverse-breach/actions/runs/40268408942</x:v>
      </x:c>
      <x:c r="L35" s="26" t="str">
        <x:f>IFERROR(HYPERLINK("https://github.com/darknigthmare/multiverse-breach/blob/codex/immersive-ui-audit-2026-10-25/src/components/GameCanvas.jsx","Code de la branche"),"Code de la branche")</x:f>
        <x:v>Code de la branche</x:v>
      </x:c>
      <x:c r="M35" s="26" t="str">
        <x:f>IFERROR(HYPERLINK("https://github.com/darknigthmare/multiverse-breach/blob/codex/immersive-ui-audit-2026-10-25/docs/ui-immersion/combat-implementation.json","COMBAT-06"),"COMBAT-06")</x:f>
        <x:v>COMBAT-06</x:v>
      </x:c>
      <x:c r="N35" s="22" t="str">
        <x:v>S25;S26;</x:v>
      </x:c>
      <x:c r="O35" s="22" t="str">
        <x:v>Écrans</x:v>
      </x:c>
    </x:row>
    <x:row r="36" ht="116" customHeight="1">
      <x:c r="A36" s="21" t="str">
        <x:v>COMBAT-07</x:v>
      </x:c>
      <x:c r="B36" s="25" t="str">
        <x:v>40, T06, T07</x:v>
      </x:c>
      <x:c r="C36" s="21" t="str">
        <x:v>P1</x:v>
      </x:c>
      <x:c r="D36" s="23" t="str">
        <x:v>Implémenté</x:v>
      </x:c>
      <x:c r="E36" s="23" t="str">
        <x:v>Réussis</x:v>
      </x:c>
      <x:c r="F36" s="23" t="str">
        <x:v>Non réalisé</x:v>
      </x:c>
      <x:c r="G36" s="21" t="str">
        <x:v>Le chargement décrit la synchronisation des signatures de combat ; la mention technique de construction OpenAI est retirée du message joueur.
Une menace indisponible invite à changer de mission ; les erreurs proposent une reprise et conservent les détails techniques dans une section ouvrable.
La mention de production P4 disparaît du titre des commandes mêlée ; l’état sans acteur est traduit.
Les tiroirs ont une taille de texte lisible, un focus visible et des cibles tactiles ; contraste et réduction des effets décoratifs suivent les préférences partagées.</x:v>
      </x:c>
      <x:c r="H36" s="21" t="str">
        <x:v>src/components/GameCanvas.jsx
src/components/MeleeControlsPanel.jsx
src/components/combat-immersion.css</x:v>
      </x:c>
      <x:c r="I36" s="21" t="str">
        <x:v>Analyse JSX de GameCanvas, FighterMode, MeleeControlsPanel, CombatDrawer et CombatResultDialog réussie.
87 vérifications ciblées réussies : géométrie/résultat, horloge fixe, ciblage, tags Fighter, commandes mêlée et combat Custom.</x:v>
      </x:c>
      <x:c r="J36" s="21" t="str">
        <x:v>La réduction de mouvement agit sur l’ornement de l’interface ; les animations et durées du jeu restent inchangées.</x:v>
      </x:c>
      <x:c r="K36" s="21" t="str">
        <x:v>Aucune preuve navigateur de la branche enregistrée.</x:v>
      </x:c>
      <x:c r="L36" s="27" t="str">
        <x:f>IFERROR(HYPERLINK("https://github.com/darknigthmare/multiverse-breach/blob/codex/immersive-ui-audit-2026-10-25/src/components/GameCanvas.jsx","Code de la branche"),"Code de la branche")</x:f>
        <x:v>Code de la branche</x:v>
      </x:c>
      <x:c r="M36" s="27" t="str">
        <x:f>IFERROR(HYPERLINK("https://github.com/darknigthmare/multiverse-breach/blob/codex/immersive-ui-audit-2026-10-25/docs/ui-immersion/combat-implementation.json","COMBAT-07"),"COMBAT-07")</x:f>
        <x:v>COMBAT-07</x:v>
      </x:c>
      <x:c r="N36" s="21" t="str">
        <x:v>S40;</x:v>
      </x:c>
      <x:c r="O36" s="21" t="str">
        <x:v>Écrans</x:v>
      </x:c>
    </x:row>
    <x:row r="37" ht="298" customHeight="1">
      <x:c r="A37" s="22" t="str">
        <x:v>COMBAT-08</x:v>
      </x:c>
      <x:c r="B37" s="24" t="str">
        <x:v>21, 22, 23, 24, T04, T06, T08, T09</x:v>
      </x:c>
      <x:c r="C37" s="22" t="str">
        <x:v>P1</x:v>
      </x:c>
      <x:c r="D37" s="23" t="str">
        <x:v>Implémenté</x:v>
      </x:c>
      <x:c r="E37" s="23" t="str">
        <x:v>Réussis</x:v>
      </x:c>
      <x:c r="F37" s="23" t="str">
        <x:v>Partiel</x:v>
      </x:c>
      <x:c r="G37" s="22" t="str">
        <x:v>Les recettes navigateur ouvrent le vrai bouton Arsenal avant les invocations, signatures de mêlée, reliques et soutiens tactiques. Elles referment le tiroir avant les actions du HUD et le rouvrent après une pause externe.
Les recettes de récupération de compte passent par le vrai menu Système. La première CI avait réussi 8 cas sur 11 ; ses trois échecs attendaient le compte sans ouvrir ce menu.
Les dix scènes isolées gardent leurs commandes QA de pause et démontage dans une barre de 60 px. Cette feuille de style n’est pas importée en production.
La recette de danger tactique transforme les coordonnées intrinsèques selon le ratio affiché avant un vrai clic ; les assertions de case mortelle et de résolution du tour restent présentes.
La capture synthétique initiale de mêlée à 390 px a montré le débordement de PROVOCATION. Le libellé revient désormais à la ligne ; une assertion de géométrie vérifie les limites du bouton et du texte en portrait. Aucune action, étiquette ni fonction de caméra supprimée.</x:v>
      </x:c>
      <x:c r="H37" s="22" t="str">
        <x:v>scripts/browserCombatUi.py
scripts/browserSignatureCombat.py
scripts/browserSignatureSources.py
scripts/browserSignatureSupport.py
scripts/browserSignatureFlight.py
scripts/browserSignatureSpirits.py
scripts/browserRpgLifecycle.py
scripts/browserTacticsReliability.py
scripts/browserTacticsHealing.py
scripts/browserAuditFollowup.py
scripts/fixtures/combatHarness.css
scripts/fixtures/signatureCombatHarness.jsx
scripts/fixtures/signatureSourceHarness.jsx
scripts/fixtures/signatureSupportHarness.jsx
scripts/fixtures/rpgLifecycleHarness.jsx
scripts/fixtures/tacticsLifecycleHarness.jsx
scripts/fixtures/tacticsAttackHarness.jsx
scripts/fixtures/tacticsHealingHarness.jsx
scripts/fixtures/fighterLifecycleHarness.jsx
scripts/fixtures/fighterMeleeHarness.jsx
scripts/fixtures/fighterRangedHarness.jsx
src/components/combat-immersion.css</x:v>
      </x:c>
      <x:c r="I37" s="22" t="str">
        <x:v>Les trois workflows de la PR réussissent sur 92a8e247 (25/10/2026). Nouvelles transitions de cette reprise suivies séparément ; aucun ancien contrôle retiré.</x:v>
      </x:c>
      <x:c r="J37" s="22" t="str">
        <x:v>CI navigateur avec vrais composants/moteurs et données synthétiques. Ne certifie pas la fidélité visuelle ni le tactile et les manettes réels.</x:v>
      </x:c>
      <x:c r="K37" s="22" t="str">
        <x:v>Preuves CI et limites : docs/ui-immersion/continuation-2026-10-26.json ; recette réelle complète non effectuée.</x:v>
      </x:c>
      <x:c r="L37" s="26" t="str">
        <x:f>IFERROR(HYPERLINK("https://github.com/darknigthmare/multiverse-breach/blob/codex/immersive-ui-audit-2026-10-25/scripts/browserCombatUi.py","Code de la branche"),"Code de la branche")</x:f>
        <x:v>Code de la branche</x:v>
      </x:c>
      <x:c r="M37" s="26" t="str">
        <x:f>IFERROR(HYPERLINK("https://github.com/darknigthmare/multiverse-breach/blob/codex/immersive-ui-audit-2026-10-25/docs/ui-immersion/combat-implementation.json","COMBAT-08"),"COMBAT-08")</x:f>
        <x:v>COMBAT-08</x:v>
      </x:c>
      <x:c r="N37" s="22" t="str">
        <x:v>S21;S22;S23;S24;</x:v>
      </x:c>
      <x:c r="O37" s="22" t="str">
        <x:v>Écrans</x:v>
      </x:c>
    </x:row>
    <x:row r="38" ht="77" customHeight="1">
      <x:c r="A38" s="21" t="str">
        <x:v>APP-01</x:v>
      </x:c>
      <x:c r="B38" s="25" t="str">
        <x:v>04, 25</x:v>
      </x:c>
      <x:c r="C38" s="21" t="str">
        <x:v>P1</x:v>
      </x:c>
      <x:c r="D38" s="23" t="str">
        <x:v>Implémenté</x:v>
      </x:c>
      <x:c r="E38" s="23" t="str">
        <x:v>Réussis</x:v>
      </x:c>
      <x:c r="F38" s="23" t="str">
        <x:v>Non réalisé</x:v>
      </x:c>
      <x:c r="G38" s="21" t="str">
        <x:v>Préférences d’affichage persistantes séparées de la progression : texte, HUD, marge, contraste, mouvement.
Plein écran système sur geste utilisateur, avec repli sur toute la surface disponible si indisponible.
Synchronisation des réglages entre panneaux et onglets.</x:v>
      </x:c>
      <x:c r="H38" s="21" t="str">
        <x:v>src/components/GameDisplaySettings.jsx
src/game/displayPreferences.js
src/components/game-system.css</x:v>
      </x:c>
      <x:c r="I38" s="21" t="str">
        <x:v>5 tests gameSystemImmersion incluent stockage, valeurs bornées et secours en cas de stockage indisponible.</x:v>
      </x:c>
      <x:c r="J38" s="21" t="str">
        <x:v>La mise à l’échelle du texte vise les interfaces DOM ; les textes dessinés dans les anciens moteurs canvas conservent leur taille logique.
Validation visuelle sur différentes résolutions en cours.</x:v>
      </x:c>
      <x:c r="K38" s="21" t="str">
        <x:v>Aucune preuve navigateur de la branche enregistrée.</x:v>
      </x:c>
      <x:c r="L38" s="27" t="str">
        <x:f>IFERROR(HYPERLINK("https://github.com/darknigthmare/multiverse-breach/blob/codex/immersive-ui-audit-2026-10-25/src/components/GameDisplaySettings.jsx","Code de la branche"),"Code de la branche")</x:f>
        <x:v>Code de la branche</x:v>
      </x:c>
      <x:c r="M38" s="27" t="str">
        <x:f>IFERROR(HYPERLINK("https://github.com/darknigthmare/multiverse-breach/blob/codex/immersive-ui-audit-2026-10-25/docs/ui-immersion/app-implementation.json","APP-01"),"APP-01")</x:f>
        <x:v>APP-01</x:v>
      </x:c>
      <x:c r="N38" s="21" t="str">
        <x:v>S04;S25;</x:v>
      </x:c>
      <x:c r="O38" s="21" t="str">
        <x:v>Écrans</x:v>
      </x:c>
    </x:row>
    <x:row r="39" ht="77" customHeight="1">
      <x:c r="A39" s="22" t="str">
        <x:v>APP-02</x:v>
      </x:c>
      <x:c r="B39" s="24" t="str">
        <x:v>05, 06, 25</x:v>
      </x:c>
      <x:c r="C39" s="22" t="str">
        <x:v>P1</x:v>
      </x:c>
      <x:c r="D39" s="23" t="str">
        <x:v>Implémenté</x:v>
      </x:c>
      <x:c r="E39" s="23" t="str">
        <x:v>Réussis</x:v>
      </x:c>
      <x:c r="F39" s="23" t="str">
        <x:v>Non réalisé</x:v>
      </x:c>
      <x:c r="G39" s="22" t="str">
        <x:v>Audio, connexion, compte et sauvegardes regroupés dans le menu Système pour dégager les scènes.
Remplacement des alert/confirm/prompt natifs par des dialogues intégrés au jeu.
File d’attente des décisions, focus modal, isolation des fenêtres parentes et restitution du focus.</x:v>
      </x:c>
      <x:c r="H39" s="22" t="str">
        <x:v>src/App.jsx
src/components/GameSystemMenu.jsx
src/components/GameSystemDialog.jsx
src/game/gameDialogQueue.js</x:v>
      </x:c>
      <x:c r="I39" s="22" t="str">
        <x:v>Test de sérialisation des décisions et rejet des confirmations périmées.
Tests des fenêtres imbriquées dans shellImmersion.</x:v>
      </x:c>
      <x:c r="J39" s="22" t="str">
        <x:v>La synchronisation cloud réelle n’est pas exécutée avec un compte utilisateur.</x:v>
      </x:c>
      <x:c r="K39" s="22" t="str">
        <x:v>Aucune preuve navigateur de la branche enregistrée.</x:v>
      </x:c>
      <x:c r="L39" s="26" t="str">
        <x:f>IFERROR(HYPERLINK("https://github.com/darknigthmare/multiverse-breach/blob/codex/immersive-ui-audit-2026-10-25/src/App.jsx","Code de la branche"),"Code de la branche")</x:f>
        <x:v>Code de la branche</x:v>
      </x:c>
      <x:c r="M39" s="26" t="str">
        <x:f>IFERROR(HYPERLINK("https://github.com/darknigthmare/multiverse-breach/blob/codex/immersive-ui-audit-2026-10-25/docs/ui-immersion/app-implementation.json","APP-02"),"APP-02")</x:f>
        <x:v>APP-02</x:v>
      </x:c>
      <x:c r="N39" s="22" t="str">
        <x:v>S05;S06;S25;</x:v>
      </x:c>
      <x:c r="O39" s="22" t="str">
        <x:v>Écrans</x:v>
      </x:c>
    </x:row>
    <x:row r="40" ht="51" customHeight="1">
      <x:c r="A40" s="21" t="str">
        <x:v>APP-03</x:v>
      </x:c>
      <x:c r="B40" s="25" t="str">
        <x:v>05</x:v>
      </x:c>
      <x:c r="C40" s="21" t="str">
        <x:v>P1</x:v>
      </x:c>
      <x:c r="D40" s="23" t="str">
        <x:v>Implémenté</x:v>
      </x:c>
      <x:c r="E40" s="23" t="str">
        <x:v>Réussis</x:v>
      </x:c>
      <x:c r="F40" s="23" t="str">
        <x:v>Non réalisé</x:v>
      </x:c>
      <x:c r="G40" s="21" t="str">
        <x:v>Après une confirmation asynchrone, contrôle de la session cloud, de la sauvegarde locale et de toute progression survenue pendant l’attente.
Les imports conservent la copie de secours et les resets préservent l’archive cloud.</x:v>
      </x:c>
      <x:c r="H40" s="21" t="str">
        <x:v>src/App.jsx
scripts/cloudReconciliationRace.test.mjs</x:v>
      </x:c>
      <x:c r="I40" s="21" t="str">
        <x:v>19 tests cloudReconciliationRace passent, dont 5 nouveaux scénarios de décisions retardées.</x:v>
      </x:c>
      <x:c r="J40" s="21" t="str"/>
      <x:c r="K40" s="21" t="str">
        <x:v>Aucune preuve navigateur de la branche enregistrée.</x:v>
      </x:c>
      <x:c r="L40" s="27" t="str">
        <x:f>IFERROR(HYPERLINK("https://github.com/darknigthmare/multiverse-breach/blob/codex/immersive-ui-audit-2026-10-25/src/App.jsx","Code de la branche"),"Code de la branche")</x:f>
        <x:v>Code de la branche</x:v>
      </x:c>
      <x:c r="M40" s="27" t="str">
        <x:f>IFERROR(HYPERLINK("https://github.com/darknigthmare/multiverse-breach/blob/codex/immersive-ui-audit-2026-10-25/docs/ui-immersion/app-implementation.json","APP-03"),"APP-03")</x:f>
        <x:v>APP-03</x:v>
      </x:c>
      <x:c r="N40" s="21" t="str">
        <x:v>S05;</x:v>
      </x:c>
      <x:c r="O40" s="21" t="str">
        <x:v>Écrans</x:v>
      </x:c>
    </x:row>
    <x:row r="41" ht="64" customHeight="1">
      <x:c r="A41" s="22" t="str">
        <x:v>APP-04</x:v>
      </x:c>
      <x:c r="B41" s="24" t="str">
        <x:v>21, 22, 23, 25</x:v>
      </x:c>
      <x:c r="C41" s="22" t="str">
        <x:v>P1</x:v>
      </x:c>
      <x:c r="D41" s="23" t="str">
        <x:v>Implémenté</x:v>
      </x:c>
      <x:c r="E41" s="23" t="str">
        <x:v>Déclarés</x:v>
      </x:c>
      <x:c r="F41" s="23" t="str">
        <x:v>Non réalisé</x:v>
      </x:c>
      <x:c r="G41" s="22" t="str">
        <x:v>Pause commune aux missions de campagne, avec reprise, options, commandes et confirmation du repli.
Échap ouvre la pause ; changement d’onglet met en pause sans reprise automatique.
La simulation reste montée et suspendue ; un résultat acquis ne peut plus ouvrir un repli.</x:v>
      </x:c>
      <x:c r="H41" s="22" t="str">
        <x:v>src/App.jsx
src/components/CampaignPauseMenu.jsx</x:v>
      </x:c>
      <x:c r="I41" s="22" t="str">
        <x:v>Compilation Vite et lint ciblé passent.
Horloge des moteurs couverte par fixedStepClock.</x:v>
      </x:c>
      <x:c r="J41" s="22" t="str">
        <x:v>Recette interactive du clavier/manette sur la preview à compléter.</x:v>
      </x:c>
      <x:c r="K41" s="22" t="str">
        <x:v>Aucune preuve navigateur de la branche enregistrée.</x:v>
      </x:c>
      <x:c r="L41" s="26" t="str">
        <x:f>IFERROR(HYPERLINK("https://github.com/darknigthmare/multiverse-breach/blob/codex/immersive-ui-audit-2026-10-25/src/App.jsx","Code de la branche"),"Code de la branche")</x:f>
        <x:v>Code de la branche</x:v>
      </x:c>
      <x:c r="M41" s="26" t="str">
        <x:f>IFERROR(HYPERLINK("https://github.com/darknigthmare/multiverse-breach/blob/codex/immersive-ui-audit-2026-10-25/docs/ui-immersion/app-implementation.json","APP-04"),"APP-04")</x:f>
        <x:v>APP-04</x:v>
      </x:c>
      <x:c r="N41" s="22" t="str">
        <x:v>S21;S22;S23;S25;</x:v>
      </x:c>
      <x:c r="O41" s="22" t="str">
        <x:v>Écrans</x:v>
      </x:c>
    </x:row>
    <x:row r="42" ht="51" customHeight="1">
      <x:c r="A42" s="21" t="str">
        <x:v>APP-05</x:v>
      </x:c>
      <x:c r="B42" s="25" t="str">
        <x:v>26</x:v>
      </x:c>
      <x:c r="C42" s="21" t="str">
        <x:v>P0</x:v>
      </x:c>
      <x:c r="D42" s="23" t="str">
        <x:v>Implémenté</x:v>
      </x:c>
      <x:c r="E42" s="23" t="str">
        <x:v>Réussis</x:v>
      </x:c>
      <x:c r="F42" s="23" t="str">
        <x:v>Non réalisé</x:v>
      </x:c>
      <x:c r="G42" s="21" t="str">
        <x:v>Un jeton unique par lancement verrouille la remise de récompenses.
Les doubles callbacks, appels d’anciennes sessions et résultats après restauration d’une sauvegarde sont refusés.</x:v>
      </x:c>
      <x:c r="H42" s="21" t="str">
        <x:v>src/App.jsx
src/game/battleCompletionGate.js
scripts/gameSystemImmersion.test.mjs</x:v>
      </x:c>
      <x:c r="I42" s="21" t="str">
        <x:v>Test victoire répétée, repli après victoire, ancien callback après relancement et invalidation.</x:v>
      </x:c>
      <x:c r="J42" s="21" t="str"/>
      <x:c r="K42" s="21" t="str">
        <x:v>Aucune preuve navigateur de la branche enregistrée.</x:v>
      </x:c>
      <x:c r="L42" s="27" t="str">
        <x:f>IFERROR(HYPERLINK("https://github.com/darknigthmare/multiverse-breach/blob/codex/immersive-ui-audit-2026-10-25/src/App.jsx","Code de la branche"),"Code de la branche")</x:f>
        <x:v>Code de la branche</x:v>
      </x:c>
      <x:c r="M42" s="27" t="str">
        <x:f>IFERROR(HYPERLINK("https://github.com/darknigthmare/multiverse-breach/blob/codex/immersive-ui-audit-2026-10-25/docs/ui-immersion/app-implementation.json","APP-05"),"APP-05")</x:f>
        <x:v>APP-05</x:v>
      </x:c>
      <x:c r="N42" s="21" t="str">
        <x:v>S26;</x:v>
      </x:c>
      <x:c r="O42" s="21" t="str">
        <x:v>Écrans</x:v>
      </x:c>
    </x:row>
    <x:row r="43" ht="64" customHeight="1">
      <x:c r="A43" s="22" t="str">
        <x:v>APP-06</x:v>
      </x:c>
      <x:c r="B43" s="24" t="str">
        <x:v>11, 26, 27</x:v>
      </x:c>
      <x:c r="C43" s="22" t="str">
        <x:v>P0</x:v>
      </x:c>
      <x:c r="D43" s="23" t="str">
        <x:v>Implémenté</x:v>
      </x:c>
      <x:c r="E43" s="23" t="str">
        <x:v>Non réalisés</x:v>
      </x:c>
      <x:c r="F43" s="23" t="str">
        <x:v>Non réalisé</x:v>
      </x:c>
      <x:c r="G43" s="22" t="str">
        <x:v>Briefing avec retour à la préparation et actions fixes dans le panneau de lecture.
Bilan présentant les ressources d’abord ; rapport détaillé, conséquences et toutes récompenses disponibles en sous-menu.
Les quatre fins existantes sont conservées, avec lecture interne adaptée au viewport.</x:v>
      </x:c>
      <x:c r="H43" s="22" t="str">
        <x:v>src/App.jsx
src/components/game-system.css</x:v>
      </x:c>
      <x:c r="I43" s="22" t="str">
        <x:v>Compilation Vite ; contrats de récompenses/campagne existants à recontrôler globalement.</x:v>
      </x:c>
      <x:c r="J43" s="22" t="str">
        <x:v>Les visuels et textes narratifs existants sont conservés.</x:v>
      </x:c>
      <x:c r="K43" s="22" t="str">
        <x:v>Aucune preuve navigateur de la branche enregistrée.</x:v>
      </x:c>
      <x:c r="L43" s="26" t="str">
        <x:f>IFERROR(HYPERLINK("https://github.com/darknigthmare/multiverse-breach/blob/codex/immersive-ui-audit-2026-10-25/src/App.jsx","Code de la branche"),"Code de la branche")</x:f>
        <x:v>Code de la branche</x:v>
      </x:c>
      <x:c r="M43" s="26" t="str">
        <x:f>IFERROR(HYPERLINK("https://github.com/darknigthmare/multiverse-breach/blob/codex/immersive-ui-audit-2026-10-25/docs/ui-immersion/app-implementation.json","APP-06"),"APP-06")</x:f>
        <x:v>APP-06</x:v>
      </x:c>
      <x:c r="N43" s="22" t="str">
        <x:v>S11;S26;S27;</x:v>
      </x:c>
      <x:c r="O43" s="22" t="str">
        <x:v>Écrans</x:v>
      </x:c>
    </x:row>
    <x:row r="44" ht="51" customHeight="1">
      <x:c r="A44" s="21" t="str">
        <x:v>APP-07</x:v>
      </x:c>
      <x:c r="B44" s="25" t="str">
        <x:v>40</x:v>
      </x:c>
      <x:c r="C44" s="21" t="str">
        <x:v>P1</x:v>
      </x:c>
      <x:c r="D44" s="23" t="str">
        <x:v>Implémenté</x:v>
      </x:c>
      <x:c r="E44" s="23" t="str">
        <x:v>Non réalisés</x:v>
      </x:c>
      <x:c r="F44" s="23" t="str">
        <x:v>Non réalisé</x:v>
      </x:c>
      <x:c r="G44" s="21" t="str">
        <x:v>Écrans de récupération gardent leur retour explicite ; diagnostic technique dans une section dépliable.
Chargements de scène existants conservés, sans faux pourcentage.</x:v>
      </x:c>
      <x:c r="H44" s="21" t="str">
        <x:v>src/App.jsx
src/components/game-system.css</x:v>
      </x:c>
      <x:c r="I44" s="21" t="str">
        <x:v>Compilation Vite ; frontières d’erreur existantes conservées.</x:v>
      </x:c>
      <x:c r="J44" s="21" t="str">
        <x:v>Chargements réseau lents non encore simulés.</x:v>
      </x:c>
      <x:c r="K44" s="21" t="str">
        <x:v>Aucune preuve navigateur de la branche enregistrée.</x:v>
      </x:c>
      <x:c r="L44" s="27" t="str">
        <x:f>IFERROR(HYPERLINK("https://github.com/darknigthmare/multiverse-breach/blob/codex/immersive-ui-audit-2026-10-25/src/App.jsx","Code de la branche"),"Code de la branche")</x:f>
        <x:v>Code de la branche</x:v>
      </x:c>
      <x:c r="M44" s="27" t="str">
        <x:f>IFERROR(HYPERLINK("https://github.com/darknigthmare/multiverse-breach/blob/codex/immersive-ui-audit-2026-10-25/docs/ui-immersion/app-implementation.json","APP-07"),"APP-07")</x:f>
        <x:v>APP-07</x:v>
      </x:c>
      <x:c r="N44" s="21" t="str">
        <x:v>S40;</x:v>
      </x:c>
      <x:c r="O44" s="21" t="str">
        <x:v>Écrans</x:v>
      </x:c>
    </x:row>
    <x:row r="45" ht="103" customHeight="1">
      <x:c r="A45" s="22" t="str">
        <x:v>APP-08</x:v>
      </x:c>
      <x:c r="B45" s="24" t="str">
        <x:v>01, 02, 03, 04, 05, 06, 07, 08, 09, 10, 11, 12, 13, 14, 15, 16, 17, 18, 19, 20, 21, 22, 23, 24, 25, 26, 27, 28, 29, 30, 31, 32, 33, 34, 35, 36, 37, 38, 39, 40</x:v>
      </x:c>
      <x:c r="C45" s="22" t="str">
        <x:v>Transversal</x:v>
      </x:c>
      <x:c r="D45" s="23" t="str">
        <x:v>Implémenté</x:v>
      </x:c>
      <x:c r="E45" s="23" t="str">
        <x:v>Réussis</x:v>
      </x:c>
      <x:c r="F45" s="23" t="str">
        <x:v>Non réalisé</x:v>
      </x:c>
      <x:c r="G45" s="22" t="str">
        <x:v>Ajout du contrôle test:ui-immersion au prebuild et à la CI existante, sans retirer les validations de production.
Classeur de suivi des 40 écrans, conservation des fonctions et preuves de test.</x:v>
      </x:c>
      <x:c r="H45" s="22" t="str">
        <x:v>package.json
.github/workflows/audit-reliability.yml
docs/excel/Multiverse_Breach_UI_Immersion.xlsx</x:v>
      </x:c>
      <x:c r="I45" s="22" t="str">
        <x:v>CI de référence 92a8e247 : fiabilité, signatures et production réussies. Reprise : 68 tests UI, 40 Fighter, lint sans avertissement et compilation source réussis.</x:v>
      </x:c>
      <x:c r="J45" s="22" t="str">
        <x:v>La validation du commit final reste distincte des preuves de préparation. La recette complète avec médias, appareils et compte réel n’est pas déclarée faite.</x:v>
      </x:c>
      <x:c r="K45" s="22" t="str">
        <x:v>Preuves CI et limites : docs/ui-immersion/continuation-2026-10-26.json ; recette réelle complète non effectuée.</x:v>
      </x:c>
      <x:c r="L45" s="26" t="str">
        <x:f>IFERROR(HYPERLINK("https://github.com/darknigthmare/multiverse-breach/blob/codex/immersive-ui-audit-2026-10-25/package.json","Code de la branche"),"Code de la branche")</x:f>
        <x:v>Code de la branche</x:v>
      </x:c>
      <x:c r="M45" s="26" t="str">
        <x:f>IFERROR(HYPERLINK("https://github.com/darknigthmare/multiverse-breach/blob/codex/immersive-ui-audit-2026-10-25/docs/ui-immersion/app-implementation.json","APP-08"),"APP-08")</x:f>
        <x:v>APP-08</x:v>
      </x:c>
      <x:c r="N45" s="22" t="str"/>
      <x:c r="O45" s="22" t="str">
        <x:v>Transversal — exclu de la couverture écran</x:v>
      </x:c>
    </x:row>
  </x:sheetData>
  <x:conditionalFormatting sqref="D7:F45">
    <x:cfRule type="cellIs" dxfId="0" priority="1" operator="equal">
      <x:formula>"Partiel"</x:formula>
    </x:cfRule>
    <x:cfRule type="cellIs" dxfId="1" priority="2" operator="equal">
      <x:formula>"Partiels"</x:formula>
    </x:cfRule>
    <x:cfRule type="cellIs" dxfId="2" priority="3" operator="equal">
      <x:formula>"À traiter"</x:formula>
    </x:cfRule>
    <x:cfRule type="cellIs" dxfId="3" priority="4" operator="equal">
      <x:formula>"À préciser"</x:formula>
    </x:cfRule>
    <x:cfRule type="cellIs" dxfId="4" priority="5" operator="equal">
      <x:formula>"Bloqués"</x:formula>
    </x:cfRule>
    <x:cfRule type="cellIs" dxfId="5" priority="6" operator="equal">
      <x:formula>"Échec"</x:formula>
    </x:cfRule>
  </x:conditionalFormatting>
  <x:dataValidations count="3">
    <x:dataValidation type="list" sqref="D7:D45">
      <x:formula1>"Implémenté,Conservé,Partiel,À traiter,À préciser"</x:formula1>
    </x:dataValidation>
    <x:dataValidation type="list" sqref="E7:E45">
      <x:formula1>"Réussis,Partiels,Déclarés,Non réalisés,Bloqués,Échec"</x:formula1>
    </x:dataValidation>
    <x:dataValidation type="list" sqref="F7:F45">
      <x:formula1>"Observé sur branche,Partiel,Non réalisé,Échec"</x:formula1>
    </x:dataValidation>
  </x:dataValidations>
  <x:pageMargins left="0.7" right="0.7" top="0.75" bottom="0.75" header="0.3" footer="0.3"/>
  <x:tableParts count="1">
    <x:tablePart xmlns:r="http://schemas.openxmlformats.org/officeDocument/2006/relationships" r:id="R45f20f6069fb408d"/>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8" hidden="0" customWidth="1"/>
    <x:col min="2" max="2" width="43" hidden="0" customWidth="1"/>
    <x:col min="3" max="3" width="84" hidden="0" customWidth="1"/>
    <x:col min="4" max="4" width="84" hidden="0" customWidth="1"/>
    <x:col min="5" max="5" width="18" hidden="0" customWidth="1"/>
    <x:col min="6" max="6" width="24" hidden="0" customWidth="1"/>
    <x:col min="7" max="7" width="84" hidden="0" customWidth="1"/>
    <x:col min="8" max="8" width="22" hidden="0" customWidth="1"/>
  </x:cols>
  <x:sheetData>
    <x:row r="1" ht="10" customHeight="1">
      <x:c r="A1" s="2"/>
      <x:c r="B1" s="2"/>
      <x:c r="C1" s="2"/>
      <x:c r="D1" s="2"/>
      <x:c r="E1" s="2"/>
      <x:c r="F1" s="2"/>
      <x:c r="G1" s="2"/>
      <x:c r="H1" s="2"/>
    </x:row>
    <x:row r="2" ht="28" customHeight="1">
      <x:c r="A2" s="4" t="str">
        <x:v>Conservation — retrouver chaque fonction</x:v>
      </x:c>
      <x:c r="B2" s="2"/>
      <x:c r="C2" s="2"/>
      <x:c r="D2" s="2"/>
      <x:c r="E2" s="2"/>
      <x:c r="F2" s="2"/>
      <x:c r="G2" s="2"/>
      <x:c r="H2" s="2"/>
    </x:row>
    <x:row r="3" ht="8" customHeight="1">
      <x:c r="A3" s="5"/>
      <x:c r="B3" s="5"/>
      <x:c r="C3" s="5"/>
      <x:c r="D3" s="5"/>
      <x:c r="E3" s="5"/>
      <x:c r="F3" s="5"/>
      <x:c r="G3" s="5"/>
      <x:c r="H3" s="5"/>
    </x:row>
    <x:row r="4" ht="22" customHeight="1">
      <x:c r="A4" s="7" t="str">
        <x:v>Aucune suppression fonctionnelle demandée. Dialogues, illustration et colonnes de lecture peuvent rester centrés lorsque cela sert leur usage.</x:v>
      </x:c>
      <x:c r="B4" s="2"/>
      <x:c r="C4" s="2"/>
      <x:c r="D4" s="2"/>
      <x:c r="E4" s="2"/>
      <x:c r="F4" s="2"/>
      <x:c r="G4" s="2"/>
      <x:c r="H4" s="2"/>
    </x:row>
    <x:row r="5" ht="8" customHeight="1">
      <x:c r="A5" s="2"/>
      <x:c r="B5" s="2"/>
      <x:c r="C5" s="2"/>
      <x:c r="D5" s="2"/>
      <x:c r="E5" s="2"/>
      <x:c r="F5" s="2"/>
      <x:c r="G5" s="2"/>
      <x:c r="H5" s="2"/>
    </x:row>
    <x:row r="6" ht="34" customHeight="1">
      <x:c r="A6" s="16" t="str">
        <x:v>ID</x:v>
      </x:c>
      <x:c r="B6" s="17" t="str">
        <x:v>Écran</x:v>
      </x:c>
      <x:c r="C6" s="17" t="str">
        <x:v>Fonctions et contenus à préserver</x:v>
      </x:c>
      <x:c r="D6" s="17" t="str">
        <x:v>Destination dans la nouvelle interface</x:v>
      </x:c>
      <x:c r="E6" s="17" t="str">
        <x:v>Tests liés</x:v>
      </x:c>
      <x:c r="F6" s="17" t="str">
        <x:v>Navigateur</x:v>
      </x:c>
      <x:c r="G6" s="17" t="str">
        <x:v>Contrôle d’acceptation</x:v>
      </x:c>
      <x:c r="H6" s="18" t="str">
        <x:v>Fiche liée</x:v>
      </x:c>
    </x:row>
    <x:row r="7" ht="51" customHeight="1">
      <x:c r="A7" s="24" t="n">
        <x:v>1</x:v>
      </x:c>
      <x:c r="B7" s="22" t="str">
        <x:v>Écran titre et présentation automatique</x:v>
      </x:c>
      <x:c r="C7" s="22" t="str">
        <x:v>Conserver Continuer, Nouvelle trace, Collection, Options, Crédits, la relecture du prologue et la présentation automatique. Les dialogues possèdent déjà une gestion du focus.</x:v>
      </x:c>
      <x:c r="D7" s="22" t="str">
        <x:v>Écran titre : menu principal, présentation et dialogues existants conservés.</x:v>
      </x:c>
      <x:c r="E7" s="22" t="str">
        <x:f>'40 écrans'!F7</x:f>
        <x:v>Réussis</x:v>
      </x:c>
      <x:c r="F7" s="22" t="str">
        <x:f>'40 écrans'!G7</x:f>
        <x:v>Non réalisé</x:v>
      </x:c>
      <x:c r="G7" s="22" t="str">
        <x:v>Les actions principales doivent rester visibles sans défilement en paysage. Une reprise doit retrouver la progression existante, et une fermeture de dialogue doit restituer le focus au contrôle d’origine.</x:v>
      </x:c>
      <x:c r="H7" s="26" t="str">
        <x:f>IFERROR(HYPERLINK("#'40 écrans'!A7","Fiche 01"),"Fiche 01")</x:f>
        <x:v>Fiche 01</x:v>
      </x:c>
    </x:row>
    <x:row r="8" ht="51" customHeight="1">
      <x:c r="A8" s="25" t="n">
        <x:v>2</x:v>
      </x:c>
      <x:c r="B8" s="21" t="str">
        <x:v>Création de l’Ancre</x:v>
      </x:c>
      <x:c r="C8" s="21" t="str">
        <x:v>Préserver le nom, sa limite de saisie, le profil local, la connexion cloud et le passage au prologue. Ne pas présenter une création d’avatar complète comme une fonction déjà fournie ici.</x:v>
      </x:c>
      <x:c r="D8" s="21" t="str">
        <x:v>Création de trace : identité locale au premier plan ; connexion dans la section Compte facultatif.</x:v>
      </x:c>
      <x:c r="E8" s="21" t="str">
        <x:f>'40 écrans'!F8</x:f>
        <x:v>Réussis</x:v>
      </x:c>
      <x:c r="F8" s="21" t="str">
        <x:f>'40 écrans'!G8</x:f>
        <x:v>Non réalisé</x:v>
      </x:c>
      <x:c r="G8" s="21" t="str">
        <x:v>La validation doit rester accessible avec le clavier virtuel ouvert. Le retour au titre ne doit pas créer une nouvelle partie accidentelle ni modifier les récompenses des compagnons.</x:v>
      </x:c>
      <x:c r="H8" s="27" t="str">
        <x:f>IFERROR(HYPERLINK("#'40 écrans'!A8","Fiche 02"),"Fiche 02")</x:f>
        <x:v>Fiche 02</x:v>
      </x:c>
    </x:row>
    <x:row r="9" ht="51" customHeight="1">
      <x:c r="A9" s="24" t="n">
        <x:v>3</x:v>
      </x:c>
      <x:c r="B9" s="22" t="str">
        <x:v>Prologue et transmissions A.R.C.A.</x:v>
      </x:c>
      <x:c r="C9" s="22" t="str">
        <x:v>Préserver toutes les scènes, le texte intégral, la relecture depuis le titre, la reprise et le saut du prologue. Une largeur limitée pour le texte reste souhaitable.</x:v>
      </x:c>
      <x:c r="D9" s="22" t="str">
        <x:v>Présentation narrative et crédits : mise en scène existante conservée ; fermeture et focus harmonisés.</x:v>
      </x:c>
      <x:c r="E9" s="22" t="str">
        <x:f>'40 écrans'!F9</x:f>
        <x:v>Réussis</x:v>
      </x:c>
      <x:c r="F9" s="22" t="str">
        <x:f>'40 écrans'!G9</x:f>
        <x:v>Non réalisé</x:v>
      </x:c>
      <x:c r="G9" s="22" t="str">
        <x:v>Chaque scène doit rester lisible sans texte coupé sur les petits écrans. Passer, terminer et reprendre doivent conduire au même état de progression attendu, sans modifier les choix ou récompenses.</x:v>
      </x:c>
      <x:c r="H9" s="26" t="str">
        <x:f>IFERROR(HYPERLINK("#'40 écrans'!A9","Fiche 03"),"Fiche 03")</x:f>
        <x:v>Fiche 03</x:v>
      </x:c>
    </x:row>
    <x:row r="10" ht="51" customHeight="1">
      <x:c r="A10" s="25" t="n">
        <x:v>4</x:v>
      </x:c>
      <x:c r="B10" s="21" t="str">
        <x:v>Options, crédits et confirmations du titre</x:v>
      </x:c>
      <x:c r="C10" s="21" t="str">
        <x:v>Préserver les volumes séparés, les choix linguistiques, les événements, les crédits et la confirmation de nouvelle partie. La réduction des animations suivant la préférence système existe déjà.</x:v>
      </x:c>
      <x:c r="D10" s="21" t="str">
        <x:v>Options du titre et menus de pause : affichage partagé ; audio, langue et événement conservés.</x:v>
      </x:c>
      <x:c r="E10" s="21" t="str">
        <x:f>'40 écrans'!F10</x:f>
        <x:v>Réussis</x:v>
      </x:c>
      <x:c r="F10" s="21" t="str">
        <x:f>'40 écrans'!G10</x:f>
        <x:v>Non réalisé</x:v>
      </x:c>
      <x:c r="G10" s="21" t="str">
        <x:v>Changer un réglage ne doit pas relancer une partie. Les menus doivent fonctionner au clavier, conserver le focus, rendre l’annulation claire et proposer une sortie sûre du plein écran système.</x:v>
      </x:c>
      <x:c r="H10" s="27" t="str">
        <x:f>IFERROR(HYPERLINK("#'40 écrans'!A10","Fiche 04"),"Fiche 04")</x:f>
        <x:v>Fiche 04</x:v>
      </x:c>
    </x:row>
    <x:row r="11" ht="51" customHeight="1">
      <x:c r="A11" s="24" t="n">
        <x:v>5</x:v>
      </x:c>
      <x:c r="B11" s="22" t="str">
        <x:v>Compte, synchronisation et sauvegardes</x:v>
      </x:c>
      <x:c r="C11" s="22" t="str">
        <x:v>Conserver connexion, inscription, récupération, renvoi de confirmation, synchronisation, copie de secours, export, import et purge. Les protections contre l’écrasement et les conflits doivent rester intactes.</x:v>
      </x:c>
      <x:c r="D11" s="22" t="str">
        <x:v>Menu Système &gt; Compte et sauvegardes ; confirmations intégrées aux dialogues du jeu.</x:v>
      </x:c>
      <x:c r="E11" s="22" t="str">
        <x:f>'40 écrans'!F11</x:f>
        <x:v>Réussis</x:v>
      </x:c>
      <x:c r="F11" s="22" t="str">
        <x:f>'40 écrans'!G11</x:f>
        <x:v>Non réalisé</x:v>
      </x:c>
      <x:c r="G11" s="22" t="str">
        <x:v>Une annulation doit préserver la progression. Les messages doivent correspondre à l’action réelle, le remplacement d’une sauvegarde doit rester explicite et les erreurs doivent être lisibles sans masquer la récupération.</x:v>
      </x:c>
      <x:c r="H11" s="26" t="str">
        <x:f>IFERROR(HYPERLINK("#'40 écrans'!A11","Fiche 05"),"Fiche 05")</x:f>
        <x:v>Fiche 05</x:v>
      </x:c>
    </x:row>
    <x:row r="12" ht="51" customHeight="1">
      <x:c r="A12" s="25" t="n">
        <x:v>6</x:v>
      </x:c>
      <x:c r="B12" s="21" t="str">
        <x:v>Hub et navigation générale</x:v>
      </x:c>
      <x:c r="C12" s="21" t="str">
        <x:v>Conserver chaque destination, les monnaies utiles, les métriques de cycle, les filtres et les messages Nexus. Les sessions dédiées cachent déjà les bandes générales pendant certains modes.</x:v>
      </x:c>
      <x:c r="D12" s="21" t="str">
        <x:v>Navigation du hub, ressources persistantes et console Directive &amp; cycle ; menu Système pour les contrôles globaux.</x:v>
      </x:c>
      <x:c r="E12" s="21" t="str">
        <x:f>'40 écrans'!F12</x:f>
        <x:v>Réussis</x:v>
      </x:c>
      <x:c r="F12" s="21" t="str">
        <x:f>'40 écrans'!G12</x:f>
        <x:v>Non réalisé</x:v>
      </x:c>
      <x:c r="G12" s="21" t="str">
        <x:v>Une matrice de correspondance doit garantir que chaque contrôle actuel reste accessible. Le passage entre sections doit garder sélection, filtres et progression sans obliger à reparcourir une longue page.</x:v>
      </x:c>
      <x:c r="H12" s="27" t="str">
        <x:f>IFERROR(HYPERLINK("#'40 écrans'!A12","Fiche 06"),"Fiche 06")</x:f>
        <x:v>Fiche 06</x:v>
      </x:c>
    </x:row>
    <x:row r="13" ht="51" customHeight="1">
      <x:c r="A13" s="24" t="n">
        <x:v>7</x:v>
      </x:c>
      <x:c r="B13" s="22" t="str">
        <x:v>Index des opérations et catégories de missions</x:v>
      </x:c>
      <x:c r="C13" s="22" t="str">
        <x:v>Conserver les dix catégories, leurs compteurs, leurs conditions d’accès et la recherche. RPG, Tactics et Smash restent des types de mission et des filtres, pas de nouveaux onglets inventés.</x:v>
      </x:c>
      <x:c r="D13" s="22" t="str">
        <x:v>Espace principal du hub ; navigation et filtres contextuels conservés.</x:v>
      </x:c>
      <x:c r="E13" s="22" t="str">
        <x:f>'40 écrans'!F13</x:f>
        <x:v>Réussis</x:v>
      </x:c>
      <x:c r="F13" s="22" t="str">
        <x:f>'40 écrans'!G13</x:f>
        <x:v>Non réalisé</x:v>
      </x:c>
      <x:c r="G13" s="22" t="str">
        <x:v>Chaque catégorie doit être atteignable au clavier et au tactile. Les descriptions complètes restent accessibles dans le dossier, et les catégories verrouillées indiquent la raison plutôt que de disparaître sans explication.</x:v>
      </x:c>
      <x:c r="H13" s="26" t="str">
        <x:f>IFERROR(HYPERLINK("#'40 écrans'!A13","Fiche 07"),"Fiche 07")</x:f>
        <x:v>Fiche 07</x:v>
      </x:c>
    </x:row>
    <x:row r="14" ht="51" customHeight="1">
      <x:c r="A14" s="25" t="n">
        <x:v>8</x:v>
      </x:c>
      <x:c r="B14" s="21" t="str">
        <x:v>Campagne et bibliothèques originales</x:v>
      </x:c>
      <x:c r="C14" s="21" t="str">
        <x:v>Préserver chapitres, missions annexes, activation des bibliothèques, exigences, variantes et états terminés. Le travail porte sur le cadrage et les transitions, sans refaire une séparation déjà réalisée.</x:v>
      </x:c>
      <x:c r="D14" s="21" t="str">
        <x:v>Espace principal du hub ; sélection des arcs et progression conservées.</x:v>
      </x:c>
      <x:c r="E14" s="21" t="str">
        <x:f>'40 écrans'!F14</x:f>
        <x:v>Réussis</x:v>
      </x:c>
      <x:c r="F14" s="21" t="str">
        <x:f>'40 écrans'!G14</x:f>
        <x:v>Non réalisé</x:v>
      </x:c>
      <x:c r="G14" s="21" t="str">
        <x:v>Le joueur doit identifier sa prochaine mission et retrouver un chapitre déjà vu. Changer de vue doit conserver le chapitre sélectionné et ne pas réattribuer les récompenses de première réussite.</x:v>
      </x:c>
      <x:c r="H14" s="27" t="str">
        <x:f>IFERROR(HYPERLINK("#'40 écrans'!A14","Fiche 08"),"Fiche 08")</x:f>
        <x:v>Fiche 08</x:v>
      </x:c>
    </x:row>
    <x:row r="15" ht="51" customHeight="1">
      <x:c r="A15" s="24" t="n">
        <x:v>9</x:v>
      </x:c>
      <x:c r="B15" s="22" t="str">
        <x:v>Carte, répertoire, journal et épreuves</x:v>
      </x:c>
      <x:c r="C15" s="22" t="str">
        <x:v>Conserver toutes les missions, les filtres, le journal et les protocoles de fusion. Les épreuves hors combat disposent déjà d’un traitement spécifique de leur titre et objectif.</x:v>
      </x:c>
      <x:c r="D15" s="22" t="str">
        <x:v>Espace principal du hub ; informations de progression regroupées dans Directive &amp; cycle &gt; Registre.</x:v>
      </x:c>
      <x:c r="E15" s="22" t="str">
        <x:f>'40 écrans'!F15</x:f>
        <x:v>Réussis</x:v>
      </x:c>
      <x:c r="F15" s="22" t="str">
        <x:f>'40 écrans'!G15</x:f>
        <x:v>Non réalisé</x:v>
      </x:c>
      <x:c r="G15" s="22" t="str">
        <x:v>Une sélection dans le répertoire doit pointer la même mission sur la carte. Les épreuves doivent afficher leurs véritables règles, et chaque détail de fusion doit rester accessible sans défilement du document de jeu.</x:v>
      </x:c>
      <x:c r="H15" s="26" t="str">
        <x:f>IFERROR(HYPERLINK("#'40 écrans'!A15","Fiche 09"),"Fiche 09")</x:f>
        <x:v>Fiche 09</x:v>
      </x:c>
    </x:row>
    <x:row r="16" ht="51" customHeight="1">
      <x:c r="A16" s="25" t="n">
        <x:v>10</x:v>
      </x:c>
      <x:c r="B16" s="21" t="str">
        <x:v>Arcs de faction, d’univers, personnels et trio</x:v>
      </x:c>
      <x:c r="C16" s="21" t="str">
        <x:v>Conserver progression, verrous, introductions, relecture, composition requise et missions associées. Ne pas recréer des onglets ou une navigation de groupe qui existent déjà.</x:v>
      </x:c>
      <x:c r="D16" s="21" t="str">
        <x:v>Espace principal du hub ; catégories et sous-vues de mission conservées.</x:v>
      </x:c>
      <x:c r="E16" s="21" t="str">
        <x:f>'40 écrans'!F16</x:f>
        <x:v>Réussis</x:v>
      </x:c>
      <x:c r="F16" s="21" t="str">
        <x:f>'40 écrans'!G16</x:f>
        <x:v>Non réalisé</x:v>
      </x:c>
      <x:c r="G16" s="21" t="str">
        <x:v>La relation entre arc, chapitre et mission doit rester évidente. Revenir depuis une introduction ou une fiche doit retrouver le même arc, et un passage visuel ne doit jamais valider une mission.</x:v>
      </x:c>
      <x:c r="H16" s="27" t="str">
        <x:f>IFERROR(HYPERLINK("#'40 écrans'!A16","Fiche 10"),"Fiche 10")</x:f>
        <x:v>Fiche 10</x:v>
      </x:c>
    </x:row>
    <x:row r="17" ht="51" customHeight="1">
      <x:c r="A17" s="24" t="n">
        <x:v>11</x:v>
      </x:c>
      <x:c r="B17" s="22" t="str">
        <x:v>Dossier de mission et briefing narratif</x:v>
      </x:c>
      <x:c r="C17" s="22" t="str">
        <x:v>Préserver tous les détails, les liens vers équipe et portail, les objectifs d’escorte et les règles des épreuves. Les textes doivent rester relisibles et ne pas être supprimés.</x:v>
      </x:c>
      <x:c r="D17" s="22" t="str">
        <x:v>Briefing de mission : objectifs prioritaires, détails ouvrables et retour vers la destination d’origine.</x:v>
      </x:c>
      <x:c r="E17" s="22" t="str">
        <x:f>'40 écrans'!F17</x:f>
        <x:v>Partiels</x:v>
      </x:c>
      <x:c r="F17" s="22" t="str">
        <x:f>'40 écrans'!G17</x:f>
        <x:v>Non réalisé</x:v>
      </x:c>
      <x:c r="G17" s="22" t="str">
        <x:v>Les actions Lancer et Retour doivent tenir dans le viewport. Toute règle indispensable à la réussite reste visible, tandis que la consultation du dossier ne modifie ni l’équipe ni l’état de mission.</x:v>
      </x:c>
      <x:c r="H17" s="26" t="str">
        <x:f>IFERROR(HYPERLINK("#'40 écrans'!A17","Fiche 11"),"Fiche 11")</x:f>
        <x:v>Fiche 11</x:v>
      </x:c>
    </x:row>
    <x:row r="18" ht="51" customHeight="1">
      <x:c r="A18" s="25" t="n">
        <x:v>12</x:v>
      </x:c>
      <x:c r="B18" s="21" t="str">
        <x:v>Cité-Mosaïque : exploration</x:v>
      </x:c>
      <x:c r="C18" s="21" t="str">
        <x:v>Conserver déplacements clavier et tactiles, interactions, quartiers, raccourcis et informations. Le ratio du canvas est protégé par ses styles importés : ne pas conclure à un étirement certain sans mesure.</x:v>
      </x:c>
      <x:c r="D18" s="21" t="str">
        <x:v>Scène de la Cité : mini-carte, objectif et interactions contextuelles ; terminal pour les dossiers et destinations.</x:v>
      </x:c>
      <x:c r="E18" s="21" t="str">
        <x:f>'40 écrans'!F18</x:f>
        <x:v>Réussis</x:v>
      </x:c>
      <x:c r="F18" s="21" t="str">
        <x:f>'40 écrans'!G18</x:f>
        <x:v>Non réalisé</x:v>
      </x:c>
      <x:c r="G18" s="21" t="str">
        <x:v>Le monde doit rester visible sans défilement pour atteindre une action. Changer de taille doit préserver ratio et coordonnées d’interaction, et revenir d’un dossier doit retrouver le quartier et la position utiles.</x:v>
      </x:c>
      <x:c r="H18" s="27" t="str">
        <x:f>IFERROR(HYPERLINK("#'40 écrans'!A18","Fiche 12"),"Fiche 12")</x:f>
        <x:v>Fiche 12</x:v>
      </x:c>
    </x:row>
    <x:row r="19" ht="51" customHeight="1">
      <x:c r="A19" s="24" t="n">
        <x:v>13</x:v>
      </x:c>
      <x:c r="B19" s="22" t="str">
        <x:v>Cité : tutoriel, destinations et services</x:v>
      </x:c>
      <x:c r="C19" s="22" t="str">
        <x:v>Conserver tous les tutoriels, destinations, descriptions et raccourcis. Le passage Cité vers Missions ou Codex transmet déjà l’univers ; préserver cette amélioration au lieu de la présenter comme absente.</x:v>
      </x:c>
      <x:c r="D19" s="22" t="str">
        <x:v>Cité : un panneau de guide actif ; gestion du guide dans le terminal, qui suspend l’exploration.</x:v>
      </x:c>
      <x:c r="E19" s="22" t="str">
        <x:f>'40 écrans'!F19</x:f>
        <x:v>Réussis</x:v>
      </x:c>
      <x:c r="F19" s="22" t="str">
        <x:f>'40 écrans'!G19</x:f>
        <x:v>Non réalisé</x:v>
      </x:c>
      <x:c r="G19" s="22" t="str">
        <x:v>Chaque borne doit mener à une fonction réelle ou expliquer son état. Retourner au monde doit conserver le point de reprise, et fermer une aide ne doit pas désactiver la progression tutorielle.</x:v>
      </x:c>
      <x:c r="H19" s="26" t="str">
        <x:f>IFERROR(HYPERLINK("#'40 écrans'!A19","Fiche 13"),"Fiche 13")</x:f>
        <x:v>Fiche 13</x:v>
      </x:c>
    </x:row>
    <x:row r="20" ht="51" customHeight="1">
      <x:c r="A20" s="25" t="n">
        <x:v>14</x:v>
      </x:c>
      <x:c r="B20" s="21" t="str">
        <x:v>Zone d’Extinction : préparation</x:v>
      </x:c>
      <x:c r="C20" s="21" t="str">
        <x:v>Conserver les quatre variantes, tous les héros autorisés, les descriptions de rôle et les conditions de lancement. Ne pas remplacer les paramètres par une sélection visuelle moins complète.</x:v>
      </x:c>
      <x:c r="D20" s="21" t="str">
        <x:v>Préparation Extinction : variantes et signature au premier plan ; carrière conservée.</x:v>
      </x:c>
      <x:c r="E20" s="21" t="str">
        <x:f>'40 écrans'!F20</x:f>
        <x:v>Réussis</x:v>
      </x:c>
      <x:c r="F20" s="21" t="str">
        <x:f>'40 écrans'!G20</x:f>
        <x:v>Non réalisé</x:v>
      </x:c>
      <x:c r="G20" s="21" t="str">
        <x:v>Lancer doit utiliser exactement la configuration affichée. Revenir d’une partie ou annuler doit retrouver les choix, et les contrôles doivent rester accessibles sans imposer la lecture de toute la documentation.</x:v>
      </x:c>
      <x:c r="H20" s="27" t="str">
        <x:f>IFERROR(HYPERLINK("#'40 écrans'!A20","Fiche 14"),"Fiche 14")</x:f>
        <x:v>Fiche 14</x:v>
      </x:c>
    </x:row>
    <x:row r="21" ht="51" customHeight="1">
      <x:c r="A21" s="24" t="n">
        <x:v>15</x:v>
      </x:c>
      <x:c r="B21" s="22" t="str">
        <x:v>Zone d’Extinction : partie</x:v>
      </x:c>
      <x:c r="C21" s="22" t="str">
        <x:v>Conserver tous les contrôles de tir et de déplacement, les variantes, l’état de la session et les informations nécessaires. L’interface doit rester lisible même lorsque le décor est lumineux ou chargé.</x:v>
      </x:c>
      <x:c r="D21" s="22" t="str">
        <x:v>Scène Extinction : HUD aux bords, commandes et simulation conservées.</x:v>
      </x:c>
      <x:c r="E21" s="22" t="str">
        <x:f>'40 écrans'!F21</x:f>
        <x:v>Réussis</x:v>
      </x:c>
      <x:c r="F21" s="22" t="str">
        <x:f>'40 écrans'!G21</x:f>
        <x:v>Non réalisé</x:v>
      </x:c>
      <x:c r="G21" s="22" t="str">
        <x:v>Aucune commande indispensable ne doit demander de faire défiler la page pendant le tir. Pause, reprise et changement de visibilité doivent conserver la session et éviter les entrées maintenues involontaires.</x:v>
      </x:c>
      <x:c r="H21" s="26" t="str">
        <x:f>IFERROR(HYPERLINK("#'40 écrans'!A21","Fiche 15"),"Fiche 15")</x:f>
        <x:v>Fiche 15</x:v>
      </x:c>
    </x:row>
    <x:row r="22" ht="51" customHeight="1">
      <x:c r="A22" s="25" t="n">
        <x:v>16</x:v>
      </x:c>
      <x:c r="B22" s="21" t="str">
        <x:v>Zone d’Extinction : bilan et récompenses</x:v>
      </x:c>
      <x:c r="C22" s="21" t="str">
        <x:v>Conserver le rapport, ses scores, son résultat et ses gains prévus. Ne pas ajouter une deuxième attribution lors de la fermeture, de la reprise ou de l’affichage du résultat.</x:v>
      </x:c>
      <x:c r="D22" s="21" t="str">
        <x:v>Bilan Extinction dans la scène dédiée ; reçu unique, compteurs réels et carrière XP.</x:v>
      </x:c>
      <x:c r="E22" s="21" t="str">
        <x:f>'40 écrans'!F22</x:f>
        <x:v>Réussis</x:v>
      </x:c>
      <x:c r="F22" s="21" t="str">
        <x:f>'40 écrans'!G22</x:f>
        <x:v>Non réalisé</x:v>
      </x:c>
      <x:c r="G22" s="21" t="str">
        <x:v>Les valeurs avant et après une victoire doivent correspondre aux gains affichés. Revoir ou fermer le bilan ne doit pas les multiplier ; un abandon ne doit pas être traité comme une victoire.</x:v>
      </x:c>
      <x:c r="H22" s="27" t="str">
        <x:f>IFERROR(HYPERLINK("#'40 écrans'!A22","Fiche 16"),"Fiche 16")</x:f>
        <x:v>Fiche 16</x:v>
      </x:c>
    </x:row>
    <x:row r="23" ht="51" customHeight="1">
      <x:c r="A23" s="24" t="n">
        <x:v>17</x:v>
      </x:c>
      <x:c r="B23" s="22" t="str">
        <x:v>Course A.R.C.A. : garage et préparation</x:v>
      </x:c>
      <x:c r="C23" s="22" t="str">
        <x:v>Préserver tous les déblocages, choix de véhicule, aides et paramètres. Les achats et améliorations existants doivent rester accessibles dans le garage, sans être supprimés pour simplifier la présentation.</x:v>
      </x:c>
      <x:c r="D23" s="22" t="str">
        <x:v>Préparation course : Mirelle, châssis et circuits ; garage, carrière et commandes dans le terminal.</x:v>
      </x:c>
      <x:c r="E23" s="22" t="str">
        <x:f>'40 écrans'!F23</x:f>
        <x:v>Réussis</x:v>
      </x:c>
      <x:c r="F23" s="22" t="str">
        <x:f>'40 écrans'!G23</x:f>
        <x:v>Partiel</x:v>
      </x:c>
      <x:c r="G23" s="22" t="str">
        <x:v>Lancement et retour doivent conserver le pilote, le châssis, le circuit et les aides. Le joueur doit comprendre ce qui est disponible, équipé ou verrouillé sans devoir essayer chaque sélection.</x:v>
      </x:c>
      <x:c r="H23" s="26" t="str">
        <x:f>IFERROR(HYPERLINK("#'40 écrans'!A23","Fiche 17"),"Fiche 17")</x:f>
        <x:v>Fiche 17</x:v>
      </x:c>
    </x:row>
    <x:row r="24" ht="51" customHeight="1">
      <x:c r="A24" s="25" t="n">
        <x:v>18</x:v>
      </x:c>
      <x:c r="B24" s="21" t="str">
        <x:v>Course A.R.C.A. : course active</x:v>
      </x:c>
      <x:c r="C24" s="21" t="str">
        <x:v>Conserver objet actif, aides, statistiques, carrière et garage. Réécrire les messages de développement en indications utiles au joueur, tout en laissant les détails techniques accessibles dans les outils.</x:v>
      </x:c>
      <x:c r="D24" s="21" t="str">
        <x:v>Scène de course plein viewport ; terminal accessible en course avec suspension effective.</x:v>
      </x:c>
      <x:c r="E24" s="21" t="str">
        <x:f>'40 écrans'!F24</x:f>
        <x:v>Réussis</x:v>
      </x:c>
      <x:c r="F24" s="21" t="str">
        <x:f>'40 écrans'!G24</x:f>
        <x:v>Partiel</x:v>
      </x:c>
      <x:c r="G24" s="21" t="str">
        <x:v>Les virages et concurrents doivent rester visibles derrière le HUD. Aucun achat ne doit détourner une commande de conduite, et l’ouverture d’une pause ne doit ni avancer la course ni réinitialiser le véhicule.</x:v>
      </x:c>
      <x:c r="H24" s="27" t="str">
        <x:f>IFERROR(HYPERLINK("#'40 écrans'!A24","Fiche 18"),"Fiche 18")</x:f>
        <x:v>Fiche 18</x:v>
      </x:c>
    </x:row>
    <x:row r="25" ht="51" customHeight="1">
      <x:c r="A25" s="24" t="n">
        <x:v>19</x:v>
      </x:c>
      <x:c r="B25" s="22" t="str">
        <x:v>Course A.R.C.A. : résultat</x:v>
      </x:c>
      <x:c r="C25" s="22" t="str">
        <x:v>Conserver toutes les statistiques et récompenses de carrière existantes ainsi que la progression enregistrée. Le résultat ne doit pas devenir une seconde occasion d’appliquer les mêmes gains.</x:v>
      </x:c>
      <x:c r="D25" s="22" t="str">
        <x:v>Bilan de course maintenu jusqu’à Rejouer ou Changer de circuit ; commandes derrière le bilan inactives.</x:v>
      </x:c>
      <x:c r="E25" s="22" t="str">
        <x:f>'40 écrans'!F25</x:f>
        <x:v>Réussis</x:v>
      </x:c>
      <x:c r="F25" s="22" t="str">
        <x:f>'40 écrans'!G25</x:f>
        <x:v>Partiel</x:v>
      </x:c>
      <x:c r="G25" s="22" t="str">
        <x:v>Les valeurs annoncées doivent correspondre à la carrière après fermeture. Rejouer doit conserver la configuration voulue, changer de circuit doit retrouver le garage, et quitter doit rendre le contrôle au bon menu.</x:v>
      </x:c>
      <x:c r="H25" s="26" t="str">
        <x:f>IFERROR(HYPERLINK("#'40 écrans'!A25","Fiche 19"),"Fiche 19")</x:f>
        <x:v>Fiche 19</x:v>
      </x:c>
    </x:row>
    <x:row r="26" ht="51" customHeight="1">
      <x:c r="A26" s="25" t="n">
        <x:v>20</x:v>
      </x:c>
      <x:c r="B26" s="21" t="str">
        <x:v>Combat custom : configuration</x:v>
      </x:c>
      <x:c r="C26" s="21" t="str">
        <x:v>Préserver toutes les options, recherches, presets et sélections. Réécrire les libellés de développement pour expliquer les effets en jeu, sans retirer les paramètres nécessaires aux simulations détaillées.</x:v>
      </x:c>
      <x:c r="D26" s="21" t="str">
        <x:v>Préparation Custom : quatre étapes revisitées librement — Mode, Équipes, Arène, Règles.</x:v>
      </x:c>
      <x:c r="E26" s="21" t="str">
        <x:f>'40 écrans'!F26</x:f>
        <x:v>Réussis</x:v>
      </x:c>
      <x:c r="F26" s="21" t="str">
        <x:f>'40 écrans'!G26</x:f>
        <x:v>Non réalisé</x:v>
      </x:c>
      <x:c r="G26" s="21" t="str">
        <x:v>Un aller-retour depuis le combat doit restituer le preset complet. Le résumé doit refléter exactement les règles appliquées, et chaque option masquée doit avoir une destination claire dans le lobby.</x:v>
      </x:c>
      <x:c r="H26" s="27" t="str">
        <x:f>IFERROR(HYPERLINK("#'40 écrans'!A26","Fiche 20"),"Fiche 20")</x:f>
        <x:v>Fiche 20</x:v>
      </x:c>
    </x:row>
    <x:row r="27" ht="51" customHeight="1">
      <x:c r="A27" s="24" t="n">
        <x:v>21</x:v>
      </x:c>
      <x:c r="B27" s="22" t="str">
        <x:v>Combat RPG</x:v>
      </x:c>
      <x:c r="C27" s="22" t="str">
        <x:v>Conserver ciblage, confirmation, annulation, mode d’attente, automatique, vitesse, reliques et mécanismes spécifiques aux boss. Les règles d’action ne doivent pas changer pendant cette refonte de présentation.</x:v>
      </x:c>
      <x:c r="D27" s="22" t="str">
        <x:v>Scène RPG : escouade et commandes contextuelles ; ciblage superposé ; Arsenal en direct et dossiers suspendus.</x:v>
      </x:c>
      <x:c r="E27" s="22" t="str">
        <x:f>'40 écrans'!F27</x:f>
        <x:v>Partiels</x:v>
      </x:c>
      <x:c r="F27" s="22" t="str">
        <x:f>'40 écrans'!G27</x:f>
        <x:v>Partiel</x:v>
      </x:c>
      <x:c r="G27" s="22" t="str">
        <x:v>Le joueur doit sélectionner une action et sa cible sans défilement. Les coordonnées doivent rester correctes après redimensionnement, et le mode d’attente doit garder exactement son comportement durant la sélection.</x:v>
      </x:c>
      <x:c r="H27" s="26" t="str">
        <x:f>IFERROR(HYPERLINK("#'40 écrans'!A27","Fiche 21"),"Fiche 21")</x:f>
        <x:v>Fiche 21</x:v>
      </x:c>
    </x:row>
    <x:row r="28" ht="51" customHeight="1">
      <x:c r="A28" s="25" t="n">
        <x:v>22</x:v>
      </x:c>
      <x:c r="B28" s="21" t="str">
        <x:v>Combat tactique</x:v>
      </x:c>
      <x:c r="C28" s="21" t="str">
        <x:v>Préserver déplacement, zoom, ciblage, annulation, fin de tour, soutien, artefacts et mécanismes de mission. Ne pas réclamer leur création comme s’ils manquaient encore.</x:v>
      </x:c>
      <x:c r="D28" s="21" t="str">
        <x:v>Scène Tactics : commandes de tour et unité active en bord de terrain ; briefing et soutien dans les tiroirs dédiés.</x:v>
      </x:c>
      <x:c r="E28" s="21" t="str">
        <x:f>'40 écrans'!F28</x:f>
        <x:v>Partiels</x:v>
      </x:c>
      <x:c r="F28" s="21" t="str">
        <x:f>'40 écrans'!G28</x:f>
        <x:v>Partiel</x:v>
      </x:c>
      <x:c r="G28" s="21" t="str">
        <x:v>Toutes les cases utiles doivent rester sélectionnables sans défilement de page. Panoramique et sélection doivent rester distincts, une annulation doit conserver les points d’action non dépensés et le HUD ne doit pas masquer la cible.</x:v>
      </x:c>
      <x:c r="H28" s="27" t="str">
        <x:f>IFERROR(HYPERLINK("#'40 écrans'!A28","Fiche 22"),"Fiche 22")</x:f>
        <x:v>Fiche 22</x:v>
      </x:c>
    </x:row>
    <x:row r="29" ht="51" customHeight="1">
      <x:c r="A29" s="24" t="n">
        <x:v>23</x:v>
      </x:c>
      <x:c r="B29" s="22" t="str">
        <x:v>Combat mêlée Smash</x:v>
      </x:c>
      <x:c r="C29" s="22" t="str">
        <x:v>Conserver toutes les entrées, supers, objets, assistances, annonces, topologies et variantes. La zone de combat et ses règles de caméra ne doivent pas être déformées pour remplir artificiellement un écran.</x:v>
      </x:c>
      <x:c r="D29" s="22" t="str">
        <x:v>Scène mêlée : état/garde/charge dans le HUD, tactile sur le terrain, remappage dans Commandes en pause.</x:v>
      </x:c>
      <x:c r="E29" s="22" t="str">
        <x:f>'40 écrans'!F29</x:f>
        <x:v>Partiels</x:v>
      </x:c>
      <x:c r="F29" s="22" t="str">
        <x:f>'40 écrans'!G29</x:f>
        <x:v>Partiel</x:v>
      </x:c>
      <x:c r="G29" s="22" t="str">
        <x:v>Les entrées clavier, manette et tactile doivent rester équivalentes après déplacement des boutons. Une pause doit vider les commandes maintenues ; le HUD ne doit pas réduire la visibilité des bords de l’arène.</x:v>
      </x:c>
      <x:c r="H29" s="26" t="str">
        <x:f>IFERROR(HYPERLINK("#'40 écrans'!A29","Fiche 23"),"Fiche 23")</x:f>
        <x:v>Fiche 23</x:v>
      </x:c>
    </x:row>
    <x:row r="30" ht="51" customHeight="1">
      <x:c r="A30" s="25" t="n">
        <x:v>24</x:v>
      </x:c>
      <x:c r="B30" s="21" t="str">
        <x:v>Combat A.R.C.A. Fighter : sélection, duel et résultat</x:v>
      </x:c>
      <x:c r="C30" s="21" t="str">
        <x:v>Conserver composition, changements de combattant, contrôle J2, difficulté, supers, assistances, résultat, revanche et retour au lobby. Le moteur sait déjà suivre la pause sans reconstruction.</x:v>
      </x:c>
      <x:c r="D30" s="21" t="str">
        <x:v>Fighter : préparation versus, scène au ratio d’origine, tags compacts ; supers/assists en direct et commandes en pause.</x:v>
      </x:c>
      <x:c r="E30" s="21" t="str">
        <x:f>'40 écrans'!F30</x:f>
        <x:v>Réussis</x:v>
      </x:c>
      <x:c r="F30" s="21" t="str">
        <x:f>'40 écrans'!G30</x:f>
        <x:v>Partiel</x:v>
      </x:c>
      <x:c r="G30" s="21" t="str">
        <x:v>Un duel doit rester entièrement contrôlable sans scroll. J1 et J2 doivent garder leurs commandes séparées, les remplacements autorisés doivent rester identifiables et une revanche ne doit pas perdre la configuration.</x:v>
      </x:c>
      <x:c r="H30" s="27" t="str">
        <x:f>IFERROR(HYPERLINK("#'40 écrans'!A30","Fiche 24"),"Fiche 24")</x:f>
        <x:v>Fiche 24</x:v>
      </x:c>
    </x:row>
    <x:row r="31" ht="51" customHeight="1">
      <x:c r="A31" s="24" t="n">
        <x:v>25</x:v>
      </x:c>
      <x:c r="B31" s="22" t="str">
        <x:v>Pause et retour des sessions</x:v>
      </x:c>
      <x:c r="C31" s="22" t="str">
        <x:v>Préserver le gel de simulation, les confirmations d’abandon, le nettoyage des entrées et la restitution du focus. Une petite modale centrée reste adaptée à une pause courte.</x:v>
      </x:c>
      <x:c r="D31" s="22" t="str">
        <x:v>Pause campagne et sessions dédiées : reprise, sortie, affichage et commandes ; dialogues imbriqués isolés.</x:v>
      </x:c>
      <x:c r="E31" s="22" t="str">
        <x:f>'40 écrans'!F31</x:f>
        <x:v>Partiels</x:v>
      </x:c>
      <x:c r="F31" s="22" t="str">
        <x:f>'40 écrans'!G31</x:f>
        <x:v>Partiel</x:v>
      </x:c>
      <x:c r="G31" s="22" t="str">
        <x:v>Vérifier séparément cité, course, Extinction, Fighter, custom et missions. Ouvrir un sous-menu puis reprendre doit conserver la scène, et un retour navigateur ou une perte de visibilité ne doit pas déclencher d’action involontaire.</x:v>
      </x:c>
      <x:c r="H31" s="26" t="str">
        <x:f>IFERROR(HYPERLINK("#'40 écrans'!A31","Fiche 25"),"Fiche 25")</x:f>
        <x:v>Fiche 25</x:v>
      </x:c>
    </x:row>
    <x:row r="32" ht="51" customHeight="1">
      <x:c r="A32" s="25" t="n">
        <x:v>26</x:v>
      </x:c>
      <x:c r="B32" s="21" t="str">
        <x:v>Victoire, défaite et débriefing de mission</x:v>
      </x:c>
      <x:c r="C32" s="21" t="str">
        <x:v>Préserver tous les chiffres, les conséquences durables et les différences entre simulation custom et mission récompensée. Les transitions doivent rester découplées de l’attribution unique des gains.</x:v>
      </x:c>
      <x:c r="D32" s="21" t="str">
        <x:v>Bilan de combat dans la scène dédiée ; validation unique du verdict et de la récompense avant retour.</x:v>
      </x:c>
      <x:c r="E32" s="21" t="str">
        <x:f>'40 écrans'!F32</x:f>
        <x:v>Partiels</x:v>
      </x:c>
      <x:c r="F32" s="21" t="str">
        <x:f>'40 écrans'!G32</x:f>
        <x:v>Partiel</x:v>
      </x:c>
      <x:c r="G32" s="21" t="str">
        <x:v>Fermer ou accélérer le résultat ne doit pas dupliquer les récompenses. Les gains doivent correspondre au profil, l’instabilité doit rester visible avant une nouvelle mission et le retour doit conduire au contexte attendu.</x:v>
      </x:c>
      <x:c r="H32" s="27" t="str">
        <x:f>IFERROR(HYPERLINK("#'40 écrans'!A32","Fiche 26"),"Fiche 26")</x:f>
        <x:v>Fiche 26</x:v>
      </x:c>
    </x:row>
    <x:row r="33" ht="51" customHeight="1">
      <x:c r="A33" s="24" t="n">
        <x:v>27</x:v>
      </x:c>
      <x:c r="B33" s="22" t="str">
        <x:v>Registre primordial et fins de campagne</x:v>
      </x:c>
      <x:c r="C33" s="22" t="str">
        <x:v>Conserver les quatre fins, leurs textes, scènes, conséquences et historique. Les commandes centrées ou une colonne de lecture limitée restent pertinentes pour ce moment de décision.</x:v>
      </x:c>
      <x:c r="D33" s="22" t="str">
        <x:v>Bilan de campagne : résumé prioritaire et détails ouvrables ; quatre fins conservées.</x:v>
      </x:c>
      <x:c r="E33" s="22" t="str">
        <x:f>'40 écrans'!F33</x:f>
        <x:v>Non réalisés</x:v>
      </x:c>
      <x:c r="F33" s="22" t="str">
        <x:f>'40 écrans'!G33</x:f>
        <x:v>Non réalisé</x:v>
      </x:c>
      <x:c r="G33" s="22" t="str">
        <x:v>Le choix sélectionné doit correspondre à la fin enregistrée. Relire une issue ne doit pas effacer les autres, et les passages entre scènes doivent rester accessibles au clavier et au tactile sans masquer leur texte.</x:v>
      </x:c>
      <x:c r="H33" s="26" t="str">
        <x:f>IFERROR(HYPERLINK("#'40 écrans'!A33","Fiche 27"),"Fiche 27")</x:f>
        <x:v>Fiche 27</x:v>
      </x:c>
    </x:row>
    <x:row r="34" ht="51" customHeight="1">
      <x:c r="A34" s="25" t="n">
        <x:v>28</x:v>
      </x:c>
      <x:c r="B34" s="21" t="str">
        <x:v>Résonance héroïque et fiche de héros</x:v>
      </x:c>
      <x:c r="C34" s="21" t="str">
        <x:v>Préserver tous les héros autorisés, variantes, statistiques, techniques, talents, descriptions et actions. Le partage de sélection entre héros et inventaire existe déjà et doit être conservé.</x:v>
      </x:c>
      <x:c r="D34" s="21" t="str">
        <x:v>Fiche héros : aperçu, statistiques et progression visibles ; doctrine, dossier et apparences ouvrables ; talents au clavier.</x:v>
      </x:c>
      <x:c r="E34" s="21" t="str">
        <x:f>'40 écrans'!F34</x:f>
        <x:v>Réussis</x:v>
      </x:c>
      <x:c r="F34" s="21" t="str">
        <x:f>'40 écrans'!G34</x:f>
        <x:v>Non réalisé</x:v>
      </x:c>
      <x:c r="G34" s="21" t="str">
        <x:v>Changer de héros doit mettre à jour chaque sous-vue sans mélange de données. Les textes complets restent consultables, et revenir de l’équipement doit retrouver le même personnage, le même filtre et la même page.</x:v>
      </x:c>
      <x:c r="H34" s="27" t="str">
        <x:f>IFERROR(HYPERLINK("#'40 écrans'!A34","Fiche 28"),"Fiche 28")</x:f>
        <x:v>Fiche 28</x:v>
      </x:c>
    </x:row>
    <x:row r="35" ht="51" customHeight="1">
      <x:c r="A35" s="24" t="n">
        <x:v>29</x:v>
      </x:c>
      <x:c r="B35" s="22" t="str">
        <x:v>Cellule d’Ancre : équipe et réserves</x:v>
      </x:c>
      <x:c r="C35" s="22" t="str">
        <x:v>Conserver propositions, réserves, autoéquipement, avertissements, synergies et règles d’effectif. Les informations complètes restent dans les fiches, sans multiplier les panneaux sur l’écran principal.</x:v>
      </x:c>
      <x:c r="D35" s="22" t="str">
        <x:v>Équipe et réserves dans l’espace principal du hub ; filtres, pagination et propositions conservés.</x:v>
      </x:c>
      <x:c r="E35" s="22" t="str">
        <x:f>'40 écrans'!F35</x:f>
        <x:v>Réussis</x:v>
      </x:c>
      <x:c r="F35" s="22" t="str">
        <x:f>'40 écrans'!G35</x:f>
        <x:v>Non réalisé</x:v>
      </x:c>
      <x:c r="G35" s="22" t="str">
        <x:v>Chaque remplacement doit rendre visibles son effet sur l’équipe et ses synergies. Une annulation doit préserver la composition précédente ; retour d’une fiche et reprise de préparation doivent retrouver le personnage et la réserve sélectionnés.</x:v>
      </x:c>
      <x:c r="H35" s="26" t="str">
        <x:f>IFERROR(HYPERLINK("#'40 écrans'!A35","Fiche 29"),"Fiche 29")</x:f>
        <x:v>Fiche 29</x:v>
      </x:c>
    </x:row>
    <x:row r="36" ht="51" customHeight="1">
      <x:c r="A36" s="25" t="n">
        <x:v>30</x:v>
      </x:c>
      <x:c r="B36" s="21" t="str">
        <x:v>Dossier d’Ancre et personnalisation</x:v>
      </x:c>
      <x:c r="C36" s="21" t="str">
        <x:v>Préserver tous les éléments cosmétiques déverrouillés, titres, bannières, informations publiques et règles de visibilité. Ne pas transformer les mentions de futur multijoueur en promesse de fonctions opérationnelles.</x:v>
      </x:c>
      <x:c r="D36" s="21" t="str">
        <x:v>Profil et progression dans l’espace principal ; registres de cycle et collection dans Directive &amp; cycle.</x:v>
      </x:c>
      <x:c r="E36" s="21" t="str">
        <x:f>'40 écrans'!F36</x:f>
        <x:v>Réussis</x:v>
      </x:c>
      <x:c r="F36" s="21" t="str">
        <x:f>'40 écrans'!G36</x:f>
        <x:v>Non réalisé</x:v>
      </x:c>
      <x:c r="G36" s="21" t="str">
        <x:v>Un changement cosmétique doit être prévisualisable et retrouver son état après retour au jeu. Les options verrouillées doivent expliquer leur condition, et les informations publiques ne doivent pas changer au simple survol.</x:v>
      </x:c>
      <x:c r="H36" s="27" t="str">
        <x:f>IFERROR(HYPERLINK("#'40 écrans'!A36","Fiche 30"),"Fiche 30")</x:f>
        <x:v>Fiche 30</x:v>
      </x:c>
    </x:row>
    <x:row r="37" ht="51" customHeight="1">
      <x:c r="A37" s="24" t="n">
        <x:v>31</x:v>
      </x:c>
      <x:c r="B37" s="22" t="str">
        <x:v>Équipement des héros et inventaire</x:v>
      </x:c>
      <x:c r="C37" s="22" t="str">
        <x:v>Conserver tous les slots, objets, filtres, recherches, pagination, compatibilités et indications d’équipement ailleurs. La refonte ne doit pas réduire le nombre de choix ou masquer les restrictions.</x:v>
      </x:c>
      <x:c r="D37" s="22" t="str">
        <x:v>Inventaire : actions et comparaison des bonus de relique ; lore ouvrable.</x:v>
      </x:c>
      <x:c r="E37" s="22" t="str">
        <x:f>'40 écrans'!F37</x:f>
        <x:v>Réussis</x:v>
      </x:c>
      <x:c r="F37" s="22" t="str">
        <x:f>'40 écrans'!G37</x:f>
        <x:v>Non réalisé</x:v>
      </x:c>
      <x:c r="G37" s="22" t="str">
        <x:v>Équiper ou retirer doit actualiser simultanément le slot, l’inventaire et les statistiques utiles. Une sélection incompatible reste explicite ; changer de héros doit conserver une navigation lisible et empêcher une attribution au mauvais personnage.</x:v>
      </x:c>
      <x:c r="H37" s="26" t="str">
        <x:f>IFERROR(HYPERLINK("#'40 écrans'!A37","Fiche 31"),"Fiche 31")</x:f>
        <x:v>Fiche 31</x:v>
      </x:c>
    </x:row>
    <x:row r="38" ht="51" customHeight="1">
      <x:c r="A38" s="25" t="n">
        <x:v>32</x:v>
      </x:c>
      <x:c r="B38" s="21" t="str">
        <x:v>Échange de signaux et boutique</x:v>
      </x:c>
      <x:c r="C38" s="21" t="str">
        <x:v>Conserver tous les objets, monnaies, filtres, états acquis ou verrouillés et règles d’achat. La présentation immersive ne doit pas rendre le coût moins visible ou confondre consultation et achat.</x:v>
      </x:c>
      <x:c r="D38" s="21" t="str">
        <x:v>Boutique dans l’espace principal du hub ; prix, compatibilités, achats et filtres conservés.</x:v>
      </x:c>
      <x:c r="E38" s="21" t="str">
        <x:f>'40 écrans'!F38</x:f>
        <x:v>Réussis</x:v>
      </x:c>
      <x:c r="F38" s="21" t="str">
        <x:f>'40 écrans'!G38</x:f>
        <x:v>Non réalisé</x:v>
      </x:c>
      <x:c r="G38" s="21" t="str">
        <x:v>Chaque achat doit correspondre à l’objet sélectionné et à son prix affiché. Les états insuffisant, déjà acquis et indisponible doivent être compréhensibles ; le retour à une fiche conserve page et filtre.</x:v>
      </x:c>
      <x:c r="H38" s="27" t="str">
        <x:f>IFERROR(HYPERLINK("#'40 écrans'!A38","Fiche 32"),"Fiche 32")</x:f>
        <x:v>Fiche 32</x:v>
      </x:c>
    </x:row>
    <x:row r="39" ht="51" customHeight="1">
      <x:c r="A39" s="24" t="n">
        <x:v>33</x:v>
      </x:c>
      <x:c r="B39" s="22" t="str">
        <x:v>Collection d’univers et dossier d’univers</x:v>
      </x:c>
      <x:c r="C39" s="22" t="str">
        <x:v>Préserver complétion, listes, navigation entre univers, missions, arcs et détails conditionnels. Le dialogue possède déjà Échap et gestion du focus ; il ne faut pas présenter ces comportements comme absents.</x:v>
      </x:c>
      <x:c r="D39" s="22" t="str">
        <x:v>Dossier d’univers plein viewport ; lecteur de lore à largeur de texte maîtrisée et défilement interne.</x:v>
      </x:c>
      <x:c r="E39" s="22" t="str">
        <x:f>'40 écrans'!F39</x:f>
        <x:v>Réussis</x:v>
      </x:c>
      <x:c r="F39" s="22" t="str">
        <x:f>'40 écrans'!G39</x:f>
        <x:v>Non réalisé</x:v>
      </x:c>
      <x:c r="G39" s="22" t="str">
        <x:v>La fermeture doit retrouver l’univers sélectionné dans la collection. Les onglets doivent conserver leur contenu, les liens de mission doivent viser le bon univers et aucune information ne doit disparaître lors du passage au plein écran.</x:v>
      </x:c>
      <x:c r="H39" s="26" t="str">
        <x:f>IFERROR(HYPERLINK("#'40 écrans'!A39","Fiche 33"),"Fiche 33")</x:f>
        <x:v>Fiche 33</x:v>
      </x:c>
    </x:row>
    <x:row r="40" ht="51" customHeight="1">
      <x:c r="A40" s="25" t="n">
        <x:v>34</x:v>
      </x:c>
      <x:c r="B40" s="21" t="str">
        <x:v>Codex et lore</x:v>
      </x:c>
      <x:c r="C40" s="21" t="str">
        <x:v>Conserver les cinq rubriques, tous les textes, la distinction des statuts et les relations entre fiches. Les recherches ou liens existants doivent mener au même contenu.</x:v>
      </x:c>
      <x:c r="D40" s="21" t="str">
        <x:v>Codex dans l’espace principal du hub ; texte canon dans des sections ouvrables.</x:v>
      </x:c>
      <x:c r="E40" s="21" t="str">
        <x:f>'40 écrans'!F40</x:f>
        <x:v>Réussis</x:v>
      </x:c>
      <x:c r="F40" s="21" t="str">
        <x:f>'40 écrans'!G40</x:f>
        <x:v>Non réalisé</x:v>
      </x:c>
      <x:c r="G40" s="21" t="str">
        <x:v>Le joueur doit retrouver sa rubrique et sa position après ouverture d’une fiche associée. Les textes doivent être lisibles avec une taille d’interface augmentée, et la navigation clavier ne doit pas traverser le jeu derrière le lecteur.</x:v>
      </x:c>
      <x:c r="H40" s="27" t="str">
        <x:f>IFERROR(HYPERLINK("#'40 écrans'!A40","Fiche 34"),"Fiche 34")</x:f>
        <x:v>Fiche 34</x:v>
      </x:c>
    </x:row>
    <x:row r="41" ht="51" customHeight="1">
      <x:c r="A41" s="24" t="n">
        <x:v>35</x:v>
      </x:c>
      <x:c r="B41" s="22" t="str">
        <x:v>Galerie CG, aperçu et comparaison</x:v>
      </x:c>
      <x:c r="C41" s="22" t="str">
        <x:v>Préserver Canon, Nexus, Fan Art, What If, les cinq filtres, favoris, zoom, comparaison et plein écran existants. Une image peut rester centrée et conserver son ratio naturel.</x:v>
      </x:c>
      <x:c r="D41" s="22" t="str">
        <x:v>Galerie : image principale, bande de miniatures et filtres repliables ; zoom, comparaison et dossier dans la visionneuse.</x:v>
      </x:c>
      <x:c r="E41" s="22" t="str">
        <x:f>'40 écrans'!F41</x:f>
        <x:v>Réussis</x:v>
      </x:c>
      <x:c r="F41" s="22" t="str">
        <x:f>'40 écrans'!G41</x:f>
        <x:v>Non réalisé</x:v>
      </x:c>
      <x:c r="G41" s="22" t="str">
        <x:v>Zoom et comparaison ne doivent pas recadrer involontairement une partie de l’image. Fermer l’aperçu doit retrouver la vignette et les filtres, et l’ensemble des crédits doit rester consultable.</x:v>
      </x:c>
      <x:c r="H41" s="26" t="str">
        <x:f>IFERROR(HYPERLINK("#'40 écrans'!A41","Fiche 35"),"Fiche 35")</x:f>
        <x:v>Fiche 35</x:v>
      </x:c>
    </x:row>
    <x:row r="42" ht="51" customHeight="1">
      <x:c r="A42" s="25" t="n">
        <x:v>36</x:v>
      </x:c>
      <x:c r="B42" s="21" t="str">
        <x:v>Portail : catalogue, rotation et dossier booster</x:v>
      </x:c>
      <x:c r="C42" s="21" t="str">
        <x:v>Conserver groupes OC et franchises, recherche, renouvellement payant sécurisé, disponibilité, contenus, taux et garanties. Le dossier possède déjà focus trap et défilement interne ; préserver cette base.</x:v>
      </x:c>
      <x:c r="D42" s="21" t="str">
        <x:v>Portail : scène du booster choisi ; catalogue via Choisir un booster ; dossier complet sans achat.</x:v>
      </x:c>
      <x:c r="E42" s="21" t="str">
        <x:f>'40 écrans'!F42</x:f>
        <x:v>Réussis</x:v>
      </x:c>
      <x:c r="F42" s="21" t="str">
        <x:f>'40 écrans'!G42</x:f>
        <x:v>Non réalisé</x:v>
      </x:c>
      <x:c r="G42" s="21" t="str">
        <x:v>Sélectionner, consulter une illustration et ouvrir doivent rester trois actions distinctes. Toute modification de rotation conserve sa confirmation, et le retour d’un dossier doit restituer le pack et la position du catalogue.</x:v>
      </x:c>
      <x:c r="H42" s="27" t="str">
        <x:f>IFERROR(HYPERLINK("#'40 écrans'!A42","Fiche 36"),"Fiche 36")</x:f>
        <x:v>Fiche 36</x:v>
      </x:c>
    </x:row>
    <x:row r="43" ht="51" customHeight="1">
      <x:c r="A43" s="24" t="n">
        <x:v>37</x:v>
      </x:c>
      <x:c r="B43" s="22" t="str">
        <x:v>Portail : ouverture et révélation des cartes</x:v>
      </x:c>
      <x:c r="C43" s="22" t="str">
        <x:v>Conserver nombre de cartes, garanties, doublons, remboursements, crédits gratuits, nettoyage des timers et protections contre les doubles actions. Ne pas réintroduire l’ancien système x1/x10 des pièces jointes.</x:v>
      </x:c>
      <x:c r="D43" s="22" t="str">
        <x:v>Scène d’ouverture : cinq cartes, retournement individuel, Tout révéler et Booster suivant.</x:v>
      </x:c>
      <x:c r="E43" s="22" t="str">
        <x:f>'40 écrans'!F43</x:f>
        <x:v>Réussis</x:v>
      </x:c>
      <x:c r="F43" s="22" t="str">
        <x:f>'40 écrans'!G43</x:f>
        <x:v>Non réalisé</x:v>
      </x:c>
      <x:c r="G43" s="22" t="str">
        <x:v>Passer visuellement, révéler rapidement ou revenir au catalogue ne doit jamais changer le tirage ni facturer deux fois. Chaque carte obtenue doit être retrouvable dans l’album, avec le même remboursement et la même provenance.</x:v>
      </x:c>
      <x:c r="H43" s="26" t="str">
        <x:f>IFERROR(HYPERLINK("#'40 écrans'!A43","Fiche 37"),"Fiche 37")</x:f>
        <x:v>Fiche 37</x:v>
      </x:c>
    </x:row>
    <x:row r="44" ht="51" customHeight="1">
      <x:c r="A44" s="25" t="n">
        <x:v>38</x:v>
      </x:c>
      <x:c r="B44" s="21" t="str">
        <x:v>Album : bibliothèque, classeur, historique et fiche carte</x:v>
      </x:c>
      <x:c r="C44" s="21" t="str">
        <x:v>Préserver cartes, maîtrise, finitions, favoris, paliers, historique des cent entrées et critères de canon. Une fiche centrée reste pertinente ; les visuels provisoires doivent rester identifiés honnêtement.</x:v>
      </x:c>
      <x:c r="D44" s="21" t="str">
        <x:v>Album : Bibliothèque, Classeur et Historique ; détails de carte pour provenance, statut et planche source.</x:v>
      </x:c>
      <x:c r="E44" s="21" t="str">
        <x:f>'40 écrans'!F44</x:f>
        <x:v>Réussis</x:v>
      </x:c>
      <x:c r="F44" s="21" t="str">
        <x:f>'40 écrans'!G44</x:f>
        <x:v>Non réalisé</x:v>
      </x:c>
      <x:c r="G44" s="21" t="str">
        <x:v>Chaque filtre visible doit agir sur la vue affichée ou annoncer sa portée. Fermer une fiche doit retrouver sélection et page, sans fuite de focus vers le portail situé derrière.</x:v>
      </x:c>
      <x:c r="H44" s="27" t="str">
        <x:f>IFERROR(HYPERLINK("#'40 écrans'!A44","Fiche 38"),"Fiche 38")</x:f>
        <x:v>Fiche 38</x:v>
      </x:c>
    </x:row>
    <x:row r="45" ht="51" customHeight="1">
      <x:c r="A45" s="24" t="n">
        <x:v>39</x:v>
      </x:c>
      <x:c r="B45" s="22" t="str">
        <x:v>Régulation, Portal Lab et inspecteurs</x:v>
      </x:c>
      <x:c r="C45" s="22" t="str">
        <x:v>Conserver activation de contenus, inspecteurs, prévisualisations, diagnostics et fonctions de suivi. Les previews peuvent rester centrées ; les informations de provenance ou de validation doivent demeurer disponibles.</x:v>
      </x:c>
      <x:c r="D45" s="22" t="str">
        <x:v>Portal Lab dans Menu &gt; Outils avancés ; Régulation conserve sa destination dans le hub.</x:v>
      </x:c>
      <x:c r="E45" s="22" t="str">
        <x:f>'40 écrans'!F45</x:f>
        <x:v>Partiels</x:v>
      </x:c>
      <x:c r="F45" s="22" t="str">
        <x:f>'40 écrans'!G45</x:f>
        <x:v>Non réalisé</x:v>
      </x:c>
      <x:c r="G45" s="22" t="str">
        <x:v>Aucune fonction ne doit devenir inaccessible après rangement. Chaque outil doit avoir une destination documentée, les données non validées restent signalées et une inspection ne doit pas modifier involontairement la progression.</x:v>
      </x:c>
      <x:c r="H45" s="26" t="str">
        <x:f>IFERROR(HYPERLINK("#'40 écrans'!A45","Fiche 39"),"Fiche 39")</x:f>
        <x:v>Fiche 39</x:v>
      </x:c>
    </x:row>
    <x:row r="46" ht="51" customHeight="1">
      <x:c r="A46" s="25" t="n">
        <x:v>40</x:v>
      </x:c>
      <x:c r="B46" s="21" t="str">
        <x:v>Chargement, erreurs et récupération</x:v>
      </x:c>
      <x:c r="C46" s="21" t="str">
        <x:v>Conserver récupérations, alertes de sauvegarde, exports de secours et messages de conflit. Le centrage d’un chargement ou d’une confirmation courte est approprié et ne nécessite pas une refonte arbitraire.</x:v>
      </x:c>
      <x:c r="D46" s="21" t="str">
        <x:v>Chargement et erreurs dans la scène ; informations techniques consultables dans Détails du signal.</x:v>
      </x:c>
      <x:c r="E46" s="21" t="str">
        <x:f>'40 écrans'!F46</x:f>
        <x:v>Partiels</x:v>
      </x:c>
      <x:c r="F46" s="21" t="str">
        <x:f>'40 écrans'!G46</x:f>
        <x:v>Non réalisé</x:v>
      </x:c>
      <x:c r="G46" s="21" t="str">
        <x:v>Un échec ne doit provoquer ni écran noir sans sortie ni écrasement de progression. Les boutons de récupération doivent rester accessibles au clavier, et fermer le diagnostic ne doit pas masquer une sauvegarde toujours bloquée.</x:v>
      </x:c>
      <x:c r="H46" s="27" t="str">
        <x:f>IFERROR(HYPERLINK("#'40 écrans'!A46","Fiche 40"),"Fiche 40")</x:f>
        <x:v>Fiche 40</x:v>
      </x:c>
    </x:row>
  </x:sheetData>
  <x:conditionalFormatting sqref="E7:F46">
    <x:cfRule type="cellIs" dxfId="13" priority="1" operator="equal">
      <x:formula>"Partiel"</x:formula>
    </x:cfRule>
    <x:cfRule type="cellIs" dxfId="14" priority="2" operator="equal">
      <x:formula>"Partiels"</x:formula>
    </x:cfRule>
    <x:cfRule type="cellIs" dxfId="15" priority="3" operator="equal">
      <x:formula>"À traiter"</x:formula>
    </x:cfRule>
    <x:cfRule type="cellIs" dxfId="16" priority="4" operator="equal">
      <x:formula>"À préciser"</x:formula>
    </x:cfRule>
    <x:cfRule type="cellIs" dxfId="17" priority="5" operator="equal">
      <x:formula>"Bloqués"</x:formula>
    </x:cfRule>
    <x:cfRule type="cellIs" dxfId="18" priority="6" operator="equal">
      <x:formula>"Échec"</x:formula>
    </x:cfRule>
  </x:conditionalFormatting>
  <x:pageMargins left="0.7" right="0.7" top="0.75" bottom="0.75" header="0.3" footer="0.3"/>
  <x:tableParts count="1">
    <x:tablePart xmlns:r="http://schemas.openxmlformats.org/officeDocument/2006/relationships" r:id="R07df8ff7298241bd"/>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3" hidden="0" customWidth="1"/>
    <x:col min="2" max="2" width="28" hidden="0" customWidth="1"/>
    <x:col min="3" max="3" width="25" hidden="0" customWidth="1"/>
    <x:col min="4" max="4" width="43" hidden="0" customWidth="1"/>
    <x:col min="5" max="5" width="92" hidden="0" customWidth="1"/>
    <x:col min="6" max="6" width="84" hidden="0" customWidth="1"/>
    <x:col min="7" max="7" width="68" hidden="0" customWidth="1"/>
    <x:col min="8" max="8" width="65" hidden="0" customWidth="1"/>
  </x:cols>
  <x:sheetData>
    <x:row r="1" ht="10" customHeight="1">
      <x:c r="A1" s="2"/>
      <x:c r="B1" s="2"/>
      <x:c r="C1" s="2"/>
      <x:c r="D1" s="2"/>
      <x:c r="E1" s="2"/>
      <x:c r="F1" s="2"/>
      <x:c r="G1" s="2"/>
      <x:c r="H1" s="2"/>
    </x:row>
    <x:row r="2" ht="28" customHeight="1">
      <x:c r="A2" s="4" t="str">
        <x:v>Vérifications — preuves et limites</x:v>
      </x:c>
      <x:c r="B2" s="2"/>
      <x:c r="C2" s="2"/>
      <x:c r="D2" s="2"/>
      <x:c r="E2" s="2"/>
      <x:c r="F2" s="2"/>
      <x:c r="G2" s="2"/>
      <x:c r="H2" s="2"/>
    </x:row>
    <x:row r="3" ht="8" customHeight="1">
      <x:c r="A3" s="5"/>
      <x:c r="B3" s="5"/>
      <x:c r="C3" s="5"/>
      <x:c r="D3" s="5"/>
      <x:c r="E3" s="5"/>
      <x:c r="F3" s="5"/>
      <x:c r="G3" s="5"/>
      <x:c r="H3" s="5"/>
    </x:row>
    <x:row r="4" ht="22" customHeight="1">
      <x:c r="A4" s="7" t="str">
        <x:v>Les tests, le code, le rendu SSR et l’observation navigateur sont distincts. Les captures de l’audit initial ne valident pas la branche.</x:v>
      </x:c>
      <x:c r="B4" s="2"/>
      <x:c r="C4" s="2"/>
      <x:c r="D4" s="2"/>
      <x:c r="E4" s="2"/>
      <x:c r="F4" s="2"/>
      <x:c r="G4" s="2"/>
      <x:c r="H4" s="2"/>
    </x:row>
    <x:row r="5" ht="8" customHeight="1">
      <x:c r="A5" s="2"/>
      <x:c r="B5" s="2"/>
      <x:c r="C5" s="2"/>
      <x:c r="D5" s="2"/>
      <x:c r="E5" s="2"/>
      <x:c r="F5" s="2"/>
      <x:c r="G5" s="2"/>
      <x:c r="H5" s="2"/>
    </x:row>
    <x:row r="6" ht="34" customHeight="1">
      <x:c r="A6" s="16" t="str">
        <x:v>Réf.</x:v>
      </x:c>
      <x:c r="B6" s="17" t="str">
        <x:v>Nature de preuve</x:v>
      </x:c>
      <x:c r="C6" s="17" t="str">
        <x:v>Résultat</x:v>
      </x:c>
      <x:c r="D6" s="17" t="str">
        <x:v>Portée / lots</x:v>
      </x:c>
      <x:c r="E6" s="17" t="str">
        <x:v>Commande ou vérification</x:v>
      </x:c>
      <x:c r="F6" s="17" t="str">
        <x:v>Limites de la preuve</x:v>
      </x:c>
      <x:c r="G6" s="17" t="str">
        <x:v>Trace / capture / URL</x:v>
      </x:c>
      <x:c r="H6" s="18" t="str">
        <x:v>Source</x:v>
      </x:c>
    </x:row>
    <x:row r="7" ht="38" customHeight="1">
      <x:c r="A7" s="22" t="str">
        <x:v>L-001</x:v>
      </x:c>
      <x:c r="B7" s="22" t="str">
        <x:v>Test automatique</x:v>
      </x:c>
      <x:c r="C7" s="22" t="str">
        <x:v>Réussi</x:v>
      </x:c>
      <x:c r="D7" s="22" t="str">
        <x:v>shell-title, shell-options</x:v>
      </x:c>
      <x:c r="E7" s="22" t="str">
        <x:v>scripts/titleNavigation.test.mjs : réussi</x:v>
      </x:c>
      <x:c r="F7" s="22" t="str">
        <x:v>Déclaration de résultat du ledger versionné ; consulter la commande et sa portée. Ne certifie pas une recette visuelle.</x:v>
      </x:c>
      <x:c r="G7" s="22" t="str"/>
      <x:c r="H7" s="22" t="str">
        <x:v>docs/ui-immersion/shell-implementation.json</x:v>
      </x:c>
    </x:row>
    <x:row r="8" ht="38" customHeight="1">
      <x:c r="A8" s="21" t="str">
        <x:v>L-002</x:v>
      </x:c>
      <x:c r="B8" s="21" t="str">
        <x:v>Test auto / SSR</x:v>
      </x:c>
      <x:c r="C8" s="21" t="str">
        <x:v>Réussi</x:v>
      </x:c>
      <x:c r="D8" s="21" t="str">
        <x:v>shell-title, shell-options</x:v>
      </x:c>
      <x:c r="E8" s="21" t="str">
        <x:v>scripts/titlePresentation.test.mjs : réussi</x:v>
      </x:c>
      <x:c r="F8" s="21" t="str">
        <x:v>Déclaration de résultat du ledger versionné ; consulter la commande et sa portée. Ne certifie pas une recette visuelle.</x:v>
      </x:c>
      <x:c r="G8" s="21" t="str"/>
      <x:c r="H8" s="21" t="str">
        <x:v>docs/ui-immersion/shell-implementation.json</x:v>
      </x:c>
    </x:row>
    <x:row r="9" ht="51" customHeight="1">
      <x:c r="A9" s="22" t="str">
        <x:v>L-003</x:v>
      </x:c>
      <x:c r="B9" s="22" t="str">
        <x:v>Code / compilation</x:v>
      </x:c>
      <x:c r="C9" s="22" t="str">
        <x:v>Réussi</x:v>
      </x:c>
      <x:c r="D9" s="22" t="str">
        <x:v>shell-title, shell-profile, shell-account, shell-universe, shell-cg, shell-portal, shell-album, shell-advanced</x:v>
      </x:c>
      <x:c r="E9" s="22" t="str">
        <x:v>Lint ciblé : réussi</x:v>
      </x:c>
      <x:c r="F9" s="22" t="str">
        <x:v>Déclaration de résultat du ledger versionné ; consulter la commande et sa portée. Ne certifie pas une recette visuelle.</x:v>
      </x:c>
      <x:c r="G9" s="22" t="str"/>
      <x:c r="H9" s="22" t="str">
        <x:v>docs/ui-immersion/shell-implementation.json</x:v>
      </x:c>
    </x:row>
    <x:row r="10" ht="38" customHeight="1">
      <x:c r="A10" s="21" t="str">
        <x:v>L-004</x:v>
      </x:c>
      <x:c r="B10" s="21" t="str">
        <x:v>Test auto / SSR</x:v>
      </x:c>
      <x:c r="C10" s="21" t="str">
        <x:v>Réussi</x:v>
      </x:c>
      <x:c r="D10" s="21" t="str">
        <x:v>shell-profile</x:v>
      </x:c>
      <x:c r="E10" s="21" t="str">
        <x:v>scripts/shellImmersionPresentation.test.mjs : création locale et compte facultatif vérifiés par SSR</x:v>
      </x:c>
      <x:c r="F10" s="21" t="str">
        <x:v>Déclaration de résultat du ledger versionné ; consulter la commande et sa portée. Ne certifie pas une recette visuelle.</x:v>
      </x:c>
      <x:c r="G10" s="21" t="str"/>
      <x:c r="H10" s="21" t="str">
        <x:v>docs/ui-immersion/shell-implementation.json</x:v>
      </x:c>
    </x:row>
    <x:row r="11" ht="38" customHeight="1">
      <x:c r="A11" s="22" t="str">
        <x:v>L-005</x:v>
      </x:c>
      <x:c r="B11" s="22" t="str">
        <x:v>Test automatique</x:v>
      </x:c>
      <x:c r="C11" s="22" t="str">
        <x:v>Réussi</x:v>
      </x:c>
      <x:c r="D11" s="22" t="str">
        <x:v>shell-options</x:v>
      </x:c>
      <x:c r="E11" s="22" t="str">
        <x:v>scripts/shellImmersion.test.mjs et scripts/dialogFocus.test.mjs : cycle modal vérifié</x:v>
      </x:c>
      <x:c r="F11" s="22" t="str">
        <x:v>Déclaration de résultat du ledger versionné ; consulter la commande et sa portée. Ne certifie pas une recette visuelle.</x:v>
      </x:c>
      <x:c r="G11" s="22" t="str"/>
      <x:c r="H11" s="22" t="str">
        <x:v>docs/ui-immersion/shell-implementation.json</x:v>
      </x:c>
    </x:row>
    <x:row r="12" ht="38" customHeight="1">
      <x:c r="A12" s="21" t="str">
        <x:v>L-006</x:v>
      </x:c>
      <x:c r="B12" s="21" t="str">
        <x:v>Test auto / SSR</x:v>
      </x:c>
      <x:c r="C12" s="21" t="str">
        <x:v>Déclaré</x:v>
      </x:c>
      <x:c r="D12" s="21" t="str">
        <x:v>shell-account</x:v>
      </x:c>
      <x:c r="E12" s="21" t="str">
        <x:v>scripts/shellImmersionPresentation.test.mjs : compte embarqué rendu</x:v>
      </x:c>
      <x:c r="F12" s="21" t="str">
        <x:v>Déclaration de résultat du ledger versionné ; consulter la commande et sa portée. Ne certifie pas une recette visuelle.</x:v>
      </x:c>
      <x:c r="G12" s="21" t="str"/>
      <x:c r="H12" s="21" t="str">
        <x:v>docs/ui-immersion/shell-implementation.json</x:v>
      </x:c>
    </x:row>
    <x:row r="13" ht="38" customHeight="1">
      <x:c r="A13" s="22" t="str">
        <x:v>L-007</x:v>
      </x:c>
      <x:c r="B13" s="22" t="str">
        <x:v>Test automatique</x:v>
      </x:c>
      <x:c r="C13" s="22" t="str">
        <x:v>Réussi</x:v>
      </x:c>
      <x:c r="D13" s="22" t="str">
        <x:v>shell-account</x:v>
      </x:c>
      <x:c r="E13" s="22" t="str">
        <x:v>scripts/shellImmersion.test.mjs : isolation du tiroir vérifiée</x:v>
      </x:c>
      <x:c r="F13" s="22" t="str">
        <x:v>Déclaration de résultat du ledger versionné ; consulter la commande et sa portée. Ne certifie pas une recette visuelle.</x:v>
      </x:c>
      <x:c r="G13" s="22" t="str"/>
      <x:c r="H13" s="22" t="str">
        <x:v>docs/ui-immersion/shell-implementation.json</x:v>
      </x:c>
    </x:row>
    <x:row r="14" ht="38" customHeight="1">
      <x:c r="A14" s="21" t="str">
        <x:v>L-008</x:v>
      </x:c>
      <x:c r="B14" s="21" t="str">
        <x:v>Test auto / SSR</x:v>
      </x:c>
      <x:c r="C14" s="21" t="str">
        <x:v>Réussi</x:v>
      </x:c>
      <x:c r="D14" s="21" t="str">
        <x:v>shell-universe</x:v>
      </x:c>
      <x:c r="E14" s="21" t="str">
        <x:v>scripts/shellImmersionPresentation.test.mjs : réussi ; un dialogue étiqueté et contenu intégral préservé</x:v>
      </x:c>
      <x:c r="F14" s="21" t="str">
        <x:v>Déclaration de résultat du ledger versionné ; consulter la commande et sa portée. Ne certifie pas une recette visuelle.</x:v>
      </x:c>
      <x:c r="G14" s="21" t="str"/>
      <x:c r="H14" s="21" t="str">
        <x:v>docs/ui-immersion/shell-implementation.json</x:v>
      </x:c>
    </x:row>
    <x:row r="15" ht="38" customHeight="1">
      <x:c r="A15" s="22" t="str">
        <x:v>L-009</x:v>
      </x:c>
      <x:c r="B15" s="22" t="str">
        <x:v>Test automatique</x:v>
      </x:c>
      <x:c r="C15" s="22" t="str">
        <x:v>Réussi</x:v>
      </x:c>
      <x:c r="D15" s="22" t="str">
        <x:v>shell-universe</x:v>
      </x:c>
      <x:c r="E15" s="22" t="str">
        <x:v>scripts/universeArchiveView.test.mjs : réussi dans les 55 suites test:conversation après récupération du manifeste de médias ; preuve docs/ui-immersion/evidence/conversation-final.log.</x:v>
      </x:c>
      <x:c r="F15" s="22" t="str">
        <x:v>Déclaration de résultat du ledger versionné ; consulter la commande et sa portée. Ne certifie pas une recette visuelle.</x:v>
      </x:c>
      <x:c r="G15" s="22" t="str"/>
      <x:c r="H15" s="22" t="str">
        <x:v>docs/ui-immersion/shell-implementation.json</x:v>
      </x:c>
    </x:row>
    <x:row r="16" ht="38" customHeight="1">
      <x:c r="A16" s="21" t="str">
        <x:v>L-010</x:v>
      </x:c>
      <x:c r="B16" s="21" t="str">
        <x:v>Test automatique</x:v>
      </x:c>
      <x:c r="C16" s="21" t="str">
        <x:v>Réussi</x:v>
      </x:c>
      <x:c r="D16" s="21" t="str">
        <x:v>shell-cg</x:v>
      </x:c>
      <x:c r="E16" s="21" t="str">
        <x:v>scripts/cgCatalog.test.mjs : réussi</x:v>
      </x:c>
      <x:c r="F16" s="21" t="str">
        <x:v>Déclaration de résultat du ledger versionné ; consulter la commande et sa portée. Ne certifie pas une recette visuelle.</x:v>
      </x:c>
      <x:c r="G16" s="21" t="str"/>
      <x:c r="H16" s="21" t="str">
        <x:v>docs/ui-immersion/shell-implementation.json</x:v>
      </x:c>
    </x:row>
    <x:row r="17" ht="38" customHeight="1">
      <x:c r="A17" s="22" t="str">
        <x:v>L-011</x:v>
      </x:c>
      <x:c r="B17" s="22" t="str">
        <x:v>Test auto / SSR</x:v>
      </x:c>
      <x:c r="C17" s="22" t="str">
        <x:v>Réussi</x:v>
      </x:c>
      <x:c r="D17" s="22" t="str">
        <x:v>shell-cg</x:v>
      </x:c>
      <x:c r="E17" s="22" t="str">
        <x:v>scripts/shellImmersionPresentation.test.mjs : galerie déverrouillée/verrouillée vérifiée</x:v>
      </x:c>
      <x:c r="F17" s="22" t="str">
        <x:v>Déclaration de résultat du ledger versionné ; consulter la commande et sa portée. Ne certifie pas une recette visuelle.</x:v>
      </x:c>
      <x:c r="G17" s="22" t="str"/>
      <x:c r="H17" s="22" t="str">
        <x:v>docs/ui-immersion/shell-implementation.json</x:v>
      </x:c>
    </x:row>
    <x:row r="18" ht="38" customHeight="1">
      <x:c r="A18" s="21" t="str">
        <x:v>L-012</x:v>
      </x:c>
      <x:c r="B18" s="21" t="str">
        <x:v>Test automatique</x:v>
      </x:c>
      <x:c r="C18" s="21" t="str">
        <x:v>Réussi</x:v>
      </x:c>
      <x:c r="D18" s="21" t="str">
        <x:v>shell-portal, shell-reveal</x:v>
      </x:c>
      <x:c r="E18" s="21" t="str">
        <x:v>scripts/portalCatalogView.test.mjs : réussi</x:v>
      </x:c>
      <x:c r="F18" s="21" t="str">
        <x:v>Déclaration de résultat du ledger versionné ; consulter la commande et sa portée. Ne certifie pas une recette visuelle.</x:v>
      </x:c>
      <x:c r="G18" s="21" t="str"/>
      <x:c r="H18" s="21" t="str">
        <x:v>docs/ui-immersion/shell-implementation.json</x:v>
      </x:c>
    </x:row>
    <x:row r="19" ht="38" customHeight="1">
      <x:c r="A19" s="22" t="str">
        <x:v>L-013</x:v>
      </x:c>
      <x:c r="B19" s="22" t="str">
        <x:v>Test automatique</x:v>
      </x:c>
      <x:c r="C19" s="22" t="str">
        <x:v>Réussi</x:v>
      </x:c>
      <x:c r="D19" s="22" t="str">
        <x:v>shell-portal, shell-reveal</x:v>
      </x:c>
      <x:c r="E19" s="22" t="str">
        <x:v>scripts/portalBoosterEngine.test.mjs : réussi</x:v>
      </x:c>
      <x:c r="F19" s="22" t="str">
        <x:v>Déclaration de résultat du ledger versionné ; consulter la commande et sa portée. Ne certifie pas une recette visuelle.</x:v>
      </x:c>
      <x:c r="G19" s="22" t="str"/>
      <x:c r="H19" s="22" t="str">
        <x:v>docs/ui-immersion/shell-implementation.json</x:v>
      </x:c>
    </x:row>
    <x:row r="20" ht="38" customHeight="1">
      <x:c r="A20" s="21" t="str">
        <x:v>L-014</x:v>
      </x:c>
      <x:c r="B20" s="21" t="str">
        <x:v>Test automatique</x:v>
      </x:c>
      <x:c r="C20" s="21" t="str">
        <x:v>Réussi</x:v>
      </x:c>
      <x:c r="D20" s="21" t="str">
        <x:v>shell-portal, shell-reveal</x:v>
      </x:c>
      <x:c r="E20" s="21" t="str">
        <x:v>scripts/portalBoosterEconomy.test.mjs : réussi</x:v>
      </x:c>
      <x:c r="F20" s="21" t="str">
        <x:v>Déclaration de résultat du ledger versionné ; consulter la commande et sa portée. Ne certifie pas une recette visuelle.</x:v>
      </x:c>
      <x:c r="G20" s="21" t="str"/>
      <x:c r="H20" s="21" t="str">
        <x:v>docs/ui-immersion/shell-implementation.json</x:v>
      </x:c>
    </x:row>
    <x:row r="21" ht="38" customHeight="1">
      <x:c r="A21" s="22" t="str">
        <x:v>L-015</x:v>
      </x:c>
      <x:c r="B21" s="22" t="str">
        <x:v>Test automatique</x:v>
      </x:c>
      <x:c r="C21" s="22" t="str">
        <x:v>Réussi</x:v>
      </x:c>
      <x:c r="D21" s="22" t="str">
        <x:v>shell-album</x:v>
      </x:c>
      <x:c r="E21" s="22" t="str">
        <x:v>scripts/shellImmersion.test.mjs : filtres cohérents, données non mutées, pose Mirelle, modal imbriqué vérifiés</x:v>
      </x:c>
      <x:c r="F21" s="22" t="str">
        <x:v>Déclaration de résultat du ledger versionné ; consulter la commande et sa portée. Ne certifie pas une recette visuelle.</x:v>
      </x:c>
      <x:c r="G21" s="22" t="str"/>
      <x:c r="H21" s="22" t="str">
        <x:v>docs/ui-immersion/shell-implementation.json</x:v>
      </x:c>
    </x:row>
    <x:row r="22" ht="38" customHeight="1">
      <x:c r="A22" s="21" t="str">
        <x:v>L-016</x:v>
      </x:c>
      <x:c r="B22" s="21" t="str">
        <x:v>Test auto / SSR</x:v>
      </x:c>
      <x:c r="C22" s="21" t="str">
        <x:v>Réussi</x:v>
      </x:c>
      <x:c r="D22" s="21" t="str">
        <x:v>shell-album</x:v>
      </x:c>
      <x:c r="E22" s="21" t="str">
        <x:v>scripts/shellImmersionPresentation.test.mjs : structure d’Album vérifiée</x:v>
      </x:c>
      <x:c r="F22" s="21" t="str">
        <x:v>Déclaration de résultat du ledger versionné ; consulter la commande et sa portée. Ne certifie pas une recette visuelle.</x:v>
      </x:c>
      <x:c r="G22" s="21" t="str"/>
      <x:c r="H22" s="21" t="str">
        <x:v>docs/ui-immersion/shell-implementation.json</x:v>
      </x:c>
    </x:row>
    <x:row r="23" ht="38" customHeight="1">
      <x:c r="A23" s="22" t="str">
        <x:v>L-017</x:v>
      </x:c>
      <x:c r="B23" s="22" t="str">
        <x:v>Test automatique</x:v>
      </x:c>
      <x:c r="C23" s="22" t="str">
        <x:v>Réussi</x:v>
      </x:c>
      <x:c r="D23" s="22" t="str">
        <x:v>shell-album</x:v>
      </x:c>
      <x:c r="E23" s="22" t="str">
        <x:v>scripts/cardCatalog.test.mjs, scripts/cardCollectionEngine.test.mjs, scripts/cardSaveMigration.test.mjs : réussis</x:v>
      </x:c>
      <x:c r="F23" s="22" t="str">
        <x:v>Déclaration de résultat du ledger versionné ; consulter la commande et sa portée. Ne certifie pas une recette visuelle.</x:v>
      </x:c>
      <x:c r="G23" s="22" t="str"/>
      <x:c r="H23" s="22" t="str">
        <x:v>docs/ui-immersion/shell-implementation.json</x:v>
      </x:c>
    </x:row>
    <x:row r="24" ht="38" customHeight="1">
      <x:c r="A24" s="21" t="str">
        <x:v>L-018</x:v>
      </x:c>
      <x:c r="B24" s="21" t="str">
        <x:v>Test automatique</x:v>
      </x:c>
      <x:c r="C24" s="21" t="str">
        <x:v>Déclaré</x:v>
      </x:c>
      <x:c r="D24" s="21" t="str">
        <x:v>shell-advanced</x:v>
      </x:c>
      <x:c r="E24" s="21" t="str">
        <x:v>scripts/portalCatalogView.test.mjs : catalogue et historique conservés</x:v>
      </x:c>
      <x:c r="F24" s="21" t="str">
        <x:v>Déclaration de résultat du ledger versionné ; consulter la commande et sa portée. Ne certifie pas une recette visuelle.</x:v>
      </x:c>
      <x:c r="G24" s="21" t="str"/>
      <x:c r="H24" s="21" t="str">
        <x:v>docs/ui-immersion/shell-implementation.json</x:v>
      </x:c>
    </x:row>
    <x:row r="25" ht="38" customHeight="1">
      <x:c r="A25" s="22" t="str">
        <x:v>L-019</x:v>
      </x:c>
      <x:c r="B25" s="22" t="str">
        <x:v>Test automatique</x:v>
      </x:c>
      <x:c r="C25" s="22" t="str">
        <x:v>Réussi</x:v>
      </x:c>
      <x:c r="D25" s="22" t="str">
        <x:v>shell-modal-lifecycle</x:v>
      </x:c>
      <x:c r="E25" s="22" t="str">
        <x:v>scripts/shellImmersion.test.mjs : 8 tests réussis</x:v>
      </x:c>
      <x:c r="F25" s="22" t="str">
        <x:v>Déclaration de résultat du ledger versionné ; consulter la commande et sa portée. Ne certifie pas une recette visuelle.</x:v>
      </x:c>
      <x:c r="G25" s="22" t="str"/>
      <x:c r="H25" s="22" t="str">
        <x:v>docs/ui-immersion/shell-implementation.json</x:v>
      </x:c>
    </x:row>
    <x:row r="26" ht="38" customHeight="1">
      <x:c r="A26" s="21" t="str">
        <x:v>L-020</x:v>
      </x:c>
      <x:c r="B26" s="21" t="str">
        <x:v>Test auto / SSR</x:v>
      </x:c>
      <x:c r="C26" s="21" t="str">
        <x:v>Réussi</x:v>
      </x:c>
      <x:c r="D26" s="21" t="str">
        <x:v>shell-modal-lifecycle</x:v>
      </x:c>
      <x:c r="E26" s="21" t="str">
        <x:v>scripts/shellImmersionPresentation.test.mjs : 4 tests réussis</x:v>
      </x:c>
      <x:c r="F26" s="21" t="str">
        <x:v>Déclaration de résultat du ledger versionné ; consulter la commande et sa portée. Ne certifie pas une recette visuelle.</x:v>
      </x:c>
      <x:c r="G26" s="21" t="str"/>
      <x:c r="H26" s="21" t="str">
        <x:v>docs/ui-immersion/shell-implementation.json</x:v>
      </x:c>
    </x:row>
    <x:row r="27" ht="38" customHeight="1">
      <x:c r="A27" s="22" t="str">
        <x:v>L-021</x:v>
      </x:c>
      <x:c r="B27" s="22" t="str">
        <x:v>Test automatique</x:v>
      </x:c>
      <x:c r="C27" s="22" t="str">
        <x:v>Réussi</x:v>
      </x:c>
      <x:c r="D27" s="22" t="str">
        <x:v>shell-modal-lifecycle</x:v>
      </x:c>
      <x:c r="E27" s="22" t="str">
        <x:v>scripts/dialogFocus.test.mjs : réussi</x:v>
      </x:c>
      <x:c r="F27" s="22" t="str">
        <x:v>Déclaration de résultat du ledger versionné ; consulter la commande et sa portée. Ne certifie pas une recette visuelle.</x:v>
      </x:c>
      <x:c r="G27" s="22" t="str"/>
      <x:c r="H27" s="22" t="str">
        <x:v>docs/ui-immersion/shell-implementation.json</x:v>
      </x:c>
    </x:row>
    <x:row r="28" ht="38" customHeight="1">
      <x:c r="A28" s="21" t="str">
        <x:v>L-022</x:v>
      </x:c>
      <x:c r="B28" s="21" t="str">
        <x:v>Code / compilation</x:v>
      </x:c>
      <x:c r="C28" s="21" t="str">
        <x:v>Réussi</x:v>
      </x:c>
      <x:c r="D28" s="21" t="str">
        <x:v>HUB-01, HUB-02, HUB-03, HUB-04, HUB-05, HUB-06, HUB-07, HUB-08, HUB-09, HUB-10</x:v>
      </x:c>
      <x:c r="E28" s="21" t="str">
        <x:v>Oxlint sur les six sources du lot : succès, aucun avertissement.</x:v>
      </x:c>
      <x:c r="F28" s="21" t="str">
        <x:v>Déclaration de résultat du ledger versionné ; consulter la commande et sa portée. Ne certifie pas une recette visuelle.</x:v>
      </x:c>
      <x:c r="G28" s="21" t="str"/>
      <x:c r="H28" s="21" t="str">
        <x:v>docs/ui-immersion/hub-implementation.json</x:v>
      </x:c>
    </x:row>
    <x:row r="29" ht="51" customHeight="1">
      <x:c r="A29" s="22" t="str">
        <x:v>L-023</x:v>
      </x:c>
      <x:c r="B29" s="22" t="str">
        <x:v>Test automatique</x:v>
      </x:c>
      <x:c r="C29" s="22" t="str">
        <x:v>Réussi</x:v>
      </x:c>
      <x:c r="D29" s="22" t="str">
        <x:v>HUB-01, HUB-02, HUB-03, HUB-04, HUB-05, HUB-06, HUB-07, HUB-08, HUB-09, HUB-10</x:v>
      </x:c>
      <x:c r="E29" s="22" t="str">
        <x:v>11 fichiers de suites ciblées réussis le 25 octobre 2026 : immersiveHubState, extinctionTiming, mosaicCityRuntime, fixedStepClock, customBattle, fighterRaceGameplayAudit, kartCareerSave, catalogPagination, squadPreparation, ocCampaignUiProgress, anchorCustomization.</x:v>
      </x:c>
      <x:c r="F29" s="22" t="str">
        <x:v>Déclaration de résultat du ledger versionné ; consulter la commande et sa portée. Ne certifie pas une recette visuelle.</x:v>
      </x:c>
      <x:c r="G29" s="22" t="str"/>
      <x:c r="H29" s="22" t="str">
        <x:v>docs/ui-immersion/hub-implementation.json</x:v>
      </x:c>
    </x:row>
    <x:row r="30" ht="38" customHeight="1">
      <x:c r="A30" s="21" t="str">
        <x:v>L-024</x:v>
      </x:c>
      <x:c r="B30" s="21" t="str">
        <x:v>Code / compilation</x:v>
      </x:c>
      <x:c r="C30" s="21" t="str">
        <x:v>Réussi</x:v>
      </x:c>
      <x:c r="D30" s="21" t="str">
        <x:v>HUB-01, HUB-02, HUB-03, HUB-04, HUB-05, HUB-06, HUB-07, HUB-08, HUB-09, HUB-10</x:v>
      </x:c>
      <x:c r="E30" s="21" t="str">
        <x:v>git diff --check : succès.</x:v>
      </x:c>
      <x:c r="F30" s="21" t="str">
        <x:v>Déclaration de résultat du ledger versionné ; consulter la commande et sa portée. Ne certifie pas une recette visuelle.</x:v>
      </x:c>
      <x:c r="G30" s="21" t="str"/>
      <x:c r="H30" s="21" t="str">
        <x:v>docs/ui-immersion/hub-implementation.json</x:v>
      </x:c>
    </x:row>
    <x:row r="31" ht="38" customHeight="1">
      <x:c r="A31" s="22" t="str">
        <x:v>L-025</x:v>
      </x:c>
      <x:c r="B31" s="22" t="str">
        <x:v>Code / compilation</x:v>
      </x:c>
      <x:c r="C31" s="22" t="str">
        <x:v>Déclaré</x:v>
      </x:c>
      <x:c r="D31" s="22" t="str">
        <x:v>HUB-02</x:v>
      </x:c>
      <x:c r="E31" s="22" t="str">
        <x:v>AST JSX validé avant et après déplacement des quatre blocs.</x:v>
      </x:c>
      <x:c r="F31" s="22" t="str">
        <x:v>Déclaration de résultat du ledger versionné ; consulter la commande et sa portée. Ne certifie pas une recette visuelle.</x:v>
      </x:c>
      <x:c r="G31" s="22" t="str"/>
      <x:c r="H31" s="22" t="str">
        <x:v>docs/ui-immersion/hub-implementation.json</x:v>
      </x:c>
    </x:row>
    <x:row r="32" ht="38" customHeight="1">
      <x:c r="A32" s="21" t="str">
        <x:v>L-026</x:v>
      </x:c>
      <x:c r="B32" s="21" t="str">
        <x:v>Test automatique</x:v>
      </x:c>
      <x:c r="C32" s="21" t="str">
        <x:v>Réussi</x:v>
      </x:c>
      <x:c r="D32" s="21" t="str">
        <x:v>HUB-03</x:v>
      </x:c>
      <x:c r="E32" s="21" t="str">
        <x:v>34 tests mosaicCityRuntime réussis, dont navigation de proximité, destinations autorisées, tutoriel, collisions et entrées clavier/tactiles.</x:v>
      </x:c>
      <x:c r="F32" s="21" t="str">
        <x:v>Déclaration de résultat du ledger versionné ; consulter la commande et sa portée. Ne certifie pas une recette visuelle.</x:v>
      </x:c>
      <x:c r="G32" s="21" t="str"/>
      <x:c r="H32" s="21" t="str">
        <x:v>docs/ui-immersion/hub-implementation.json</x:v>
      </x:c>
    </x:row>
    <x:row r="33" ht="38" customHeight="1">
      <x:c r="A33" s="22" t="str">
        <x:v>L-027</x:v>
      </x:c>
      <x:c r="B33" s="22" t="str">
        <x:v>Test automatique</x:v>
      </x:c>
      <x:c r="C33" s="22" t="str">
        <x:v>Déclaré</x:v>
      </x:c>
      <x:c r="D33" s="22" t="str">
        <x:v>HUB-03</x:v>
      </x:c>
      <x:c r="E33" s="22" t="str">
        <x:v>Tests nouveaux : déplacement réel puis sérialisation/restauration du quartier/position ; limites et données invalides ; état transitoire non sauvegardé.</x:v>
      </x:c>
      <x:c r="F33" s="22" t="str">
        <x:v>Déclaration de résultat du ledger versionné ; consulter la commande et sa portée. Ne certifie pas une recette visuelle.</x:v>
      </x:c>
      <x:c r="G33" s="22" t="str"/>
      <x:c r="H33" s="22" t="str">
        <x:v>docs/ui-immersion/hub-implementation.json</x:v>
      </x:c>
    </x:row>
    <x:row r="34" ht="38" customHeight="1">
      <x:c r="A34" s="21" t="str">
        <x:v>L-028</x:v>
      </x:c>
      <x:c r="B34" s="21" t="str">
        <x:v>Test automatique</x:v>
      </x:c>
      <x:c r="C34" s="21" t="str">
        <x:v>Déclaré</x:v>
      </x:c>
      <x:c r="D34" s="21" t="str">
        <x:v>HUB-04</x:v>
      </x:c>
      <x:c r="E34" s="21" t="str">
        <x:v>extinctionTiming : simulation réelle, dégâts, déplacements et recharge identiques à 30/60/120/144 Hz ; pause et visibilité sans rattrapage.</x:v>
      </x:c>
      <x:c r="F34" s="21" t="str">
        <x:v>Déclaration de résultat du ledger versionné ; consulter la commande et sa portée. Ne certifie pas une recette visuelle.</x:v>
      </x:c>
      <x:c r="G34" s="21" t="str"/>
      <x:c r="H34" s="21" t="str">
        <x:v>docs/ui-immersion/hub-implementation.json</x:v>
      </x:c>
    </x:row>
    <x:row r="35" ht="38" customHeight="1">
      <x:c r="A35" s="22" t="str">
        <x:v>L-029</x:v>
      </x:c>
      <x:c r="B35" s="22" t="str">
        <x:v>Test automatique</x:v>
      </x:c>
      <x:c r="C35" s="22" t="str">
        <x:v>Déclaré</x:v>
      </x:c>
      <x:c r="D35" s="22" t="str">
        <x:v>HUB-05</x:v>
      </x:c>
      <x:c r="E35" s="22" t="str">
        <x:v>Exécution du vrai callback Hub dans le test : +172 Or / +45 fragments / +210 XP une seule fois sur double rapport ; aucun appel de sortie avant acknowledgement ; bilan défaite distinct.</x:v>
      </x:c>
      <x:c r="F35" s="22" t="str">
        <x:v>Déclaration de résultat du ledger versionné ; consulter la commande et sa portée. Ne certifie pas une recette visuelle.</x:v>
      </x:c>
      <x:c r="G35" s="22" t="str"/>
      <x:c r="H35" s="22" t="str">
        <x:v>docs/ui-immersion/hub-implementation.json</x:v>
      </x:c>
    </x:row>
    <x:row r="36" ht="38" customHeight="1">
      <x:c r="A36" s="21" t="str">
        <x:v>L-030</x:v>
      </x:c>
      <x:c r="B36" s="21" t="str">
        <x:v>Test automatique</x:v>
      </x:c>
      <x:c r="C36" s="21" t="str">
        <x:v>Déclaré</x:v>
      </x:c>
      <x:c r="D36" s="21" t="str">
        <x:v>HUB-05</x:v>
      </x:c>
      <x:c r="E36" s="21" t="str">
        <x:v>Sérialisation/rechargement du reçu : même rapport refusé ; données de progression sans rapport conservées.</x:v>
      </x:c>
      <x:c r="F36" s="21" t="str">
        <x:v>Déclaration de résultat du ledger versionné ; consulter la commande et sa portée. Ne certifie pas une recette visuelle.</x:v>
      </x:c>
      <x:c r="G36" s="21" t="str"/>
      <x:c r="H36" s="21" t="str">
        <x:v>docs/ui-immersion/hub-implementation.json</x:v>
      </x:c>
    </x:row>
    <x:row r="37" ht="38" customHeight="1">
      <x:c r="A37" s="22" t="str">
        <x:v>L-031</x:v>
      </x:c>
      <x:c r="B37" s="22" t="str">
        <x:v>Test automatique</x:v>
      </x:c>
      <x:c r="C37" s="22" t="str">
        <x:v>Réussi</x:v>
      </x:c>
      <x:c r="D37" s="22" t="str">
        <x:v>HUB-06</x:v>
      </x:c>
      <x:c r="E37" s="22" t="str">
        <x:v>Tests fighterRaceGameplayAudit et kartCareerSave réussis.</x:v>
      </x:c>
      <x:c r="F37" s="22" t="str">
        <x:v>Déclaration de résultat du ledger versionné ; consulter la commande et sa portée. Ne certifie pas une recette visuelle.</x:v>
      </x:c>
      <x:c r="G37" s="22" t="str"/>
      <x:c r="H37" s="22" t="str">
        <x:v>docs/ui-immersion/hub-implementation.json</x:v>
      </x:c>
    </x:row>
    <x:row r="38" ht="38" customHeight="1">
      <x:c r="A38" s="21" t="str">
        <x:v>L-032</x:v>
      </x:c>
      <x:c r="B38" s="21" t="str">
        <x:v>Test automatique</x:v>
      </x:c>
      <x:c r="C38" s="21" t="str">
        <x:v>Déclaré</x:v>
      </x:c>
      <x:c r="D38" s="21" t="str">
        <x:v>HUB-06</x:v>
      </x:c>
      <x:c r="E38" s="21" t="str">
        <x:v>fixedStepClock enrichi : ouverture/fermeture garage ne reconstruit pas le moteur et ne rattrape pas le temps suspendu.</x:v>
      </x:c>
      <x:c r="F38" s="21" t="str">
        <x:v>Déclaration de résultat du ledger versionné ; consulter la commande et sa portée. Ne certifie pas une recette visuelle.</x:v>
      </x:c>
      <x:c r="G38" s="21" t="str"/>
      <x:c r="H38" s="21" t="str">
        <x:v>docs/ui-immersion/hub-implementation.json</x:v>
      </x:c>
    </x:row>
    <x:row r="39" ht="38" customHeight="1">
      <x:c r="A39" s="22" t="str">
        <x:v>L-033</x:v>
      </x:c>
      <x:c r="B39" s="22" t="str">
        <x:v>Test automatique</x:v>
      </x:c>
      <x:c r="C39" s="22" t="str">
        <x:v>Réussi</x:v>
      </x:c>
      <x:c r="D39" s="22" t="str">
        <x:v>HUB-07</x:v>
      </x:c>
      <x:c r="E39" s="22" t="str">
        <x:v>customBattle.test.mjs : succès (42 cas), y compris contenu choisi, limites de roster, CPU/P2, aucune récompense campagne et contrat de pause.</x:v>
      </x:c>
      <x:c r="F39" s="22" t="str">
        <x:v>Déclaration de résultat du ledger versionné ; consulter la commande et sa portée. Ne certifie pas une recette visuelle.</x:v>
      </x:c>
      <x:c r="G39" s="22" t="str"/>
      <x:c r="H39" s="22" t="str">
        <x:v>docs/ui-immersion/hub-implementation.json</x:v>
      </x:c>
    </x:row>
    <x:row r="40" ht="38" customHeight="1">
      <x:c r="A40" s="21" t="str">
        <x:v>L-034</x:v>
      </x:c>
      <x:c r="B40" s="21" t="str">
        <x:v>Code / compilation</x:v>
      </x:c>
      <x:c r="C40" s="21" t="str">
        <x:v>Réussi</x:v>
      </x:c>
      <x:c r="D40" s="21" t="str">
        <x:v>HUB-07</x:v>
      </x:c>
      <x:c r="E40" s="21" t="str">
        <x:v>Oxlint JSX : succès.</x:v>
      </x:c>
      <x:c r="F40" s="21" t="str">
        <x:v>Déclaration de résultat du ledger versionné ; consulter la commande et sa portée. Ne certifie pas une recette visuelle.</x:v>
      </x:c>
      <x:c r="G40" s="21" t="str"/>
      <x:c r="H40" s="21" t="str">
        <x:v>docs/ui-immersion/hub-implementation.json</x:v>
      </x:c>
    </x:row>
    <x:row r="41" ht="38" customHeight="1">
      <x:c r="A41" s="22" t="str">
        <x:v>L-035</x:v>
      </x:c>
      <x:c r="B41" s="22" t="str">
        <x:v>Test automatique</x:v>
      </x:c>
      <x:c r="C41" s="22" t="str">
        <x:v>Réussi</x:v>
      </x:c>
      <x:c r="D41" s="22" t="str">
        <x:v>HUB-08</x:v>
      </x:c>
      <x:c r="E41" s="22" t="str">
        <x:v>Contrats pause customBattle et fixedStepClock réussis.</x:v>
      </x:c>
      <x:c r="F41" s="22" t="str">
        <x:v>Déclaration de résultat du ledger versionné ; consulter la commande et sa portée. Ne certifie pas une recette visuelle.</x:v>
      </x:c>
      <x:c r="G41" s="22" t="str"/>
      <x:c r="H41" s="22" t="str">
        <x:v>docs/ui-immersion/hub-implementation.json</x:v>
      </x:c>
    </x:row>
    <x:row r="42" ht="38" customHeight="1">
      <x:c r="A42" s="21" t="str">
        <x:v>L-036</x:v>
      </x:c>
      <x:c r="B42" s="21" t="str">
        <x:v>Test automatique</x:v>
      </x:c>
      <x:c r="C42" s="21" t="str">
        <x:v>Réussi</x:v>
      </x:c>
      <x:c r="D42" s="21" t="str">
        <x:v>HUB-09</x:v>
      </x:c>
      <x:c r="E42" s="21" t="str">
        <x:v>squadPreparation, catalogPagination et anchorCustomization réussis.</x:v>
      </x:c>
      <x:c r="F42" s="21" t="str">
        <x:v>Déclaration de résultat du ledger versionné ; consulter la commande et sa portée. Ne certifie pas une recette visuelle.</x:v>
      </x:c>
      <x:c r="G42" s="21" t="str"/>
      <x:c r="H42" s="21" t="str">
        <x:v>docs/ui-immersion/hub-implementation.json</x:v>
      </x:c>
    </x:row>
    <x:row r="43" ht="38" customHeight="1">
      <x:c r="A43" s="22" t="str">
        <x:v>L-037</x:v>
      </x:c>
      <x:c r="B43" s="22" t="str">
        <x:v>Code / compilation</x:v>
      </x:c>
      <x:c r="C43" s="22" t="str">
        <x:v>Déclaré</x:v>
      </x:c>
      <x:c r="D43" s="22" t="str">
        <x:v>HUB-09</x:v>
      </x:c>
      <x:c r="E43" s="22" t="str">
        <x:v>Oxlint : aucun avertissement.</x:v>
      </x:c>
      <x:c r="F43" s="22" t="str">
        <x:v>Déclaration de résultat du ledger versionné ; consulter la commande et sa portée. Ne certifie pas une recette visuelle.</x:v>
      </x:c>
      <x:c r="G43" s="22" t="str"/>
      <x:c r="H43" s="22" t="str">
        <x:v>docs/ui-immersion/hub-implementation.json</x:v>
      </x:c>
    </x:row>
    <x:row r="44" ht="38" customHeight="1">
      <x:c r="A44" s="21" t="str">
        <x:v>L-038</x:v>
      </x:c>
      <x:c r="B44" s="21" t="str">
        <x:v>Test automatique</x:v>
      </x:c>
      <x:c r="C44" s="21" t="str">
        <x:v>Déclaré</x:v>
      </x:c>
      <x:c r="D44" s="21" t="str">
        <x:v>HUB-10</x:v>
      </x:c>
      <x:c r="E44" s="21" t="str">
        <x:v>Test de comparaison : ATK +3, SPD +2 et HP −45 correctement conservés pour le remplacement d’une relique.</x:v>
      </x:c>
      <x:c r="F44" s="21" t="str">
        <x:v>Déclaration de résultat du ledger versionné ; consulter la commande et sa portée. Ne certifie pas une recette visuelle.</x:v>
      </x:c>
      <x:c r="G44" s="21" t="str"/>
      <x:c r="H44" s="21" t="str">
        <x:v>docs/ui-immersion/hub-implementation.json</x:v>
      </x:c>
    </x:row>
    <x:row r="45" ht="38" customHeight="1">
      <x:c r="A45" s="22" t="str">
        <x:v>L-039</x:v>
      </x:c>
      <x:c r="B45" s="22" t="str">
        <x:v>Test automatique</x:v>
      </x:c>
      <x:c r="C45" s="22" t="str">
        <x:v>Réussi</x:v>
      </x:c>
      <x:c r="D45" s="22" t="str">
        <x:v>HUB-10</x:v>
      </x:c>
      <x:c r="E45" s="22" t="str">
        <x:v>catalogPagination : succès.</x:v>
      </x:c>
      <x:c r="F45" s="22" t="str">
        <x:v>Déclaration de résultat du ledger versionné ; consulter la commande et sa portée. Ne certifie pas une recette visuelle.</x:v>
      </x:c>
      <x:c r="G45" s="22" t="str"/>
      <x:c r="H45" s="22" t="str">
        <x:v>docs/ui-immersion/hub-implementation.json</x:v>
      </x:c>
    </x:row>
    <x:row r="46" ht="51" customHeight="1">
      <x:c r="A46" s="21" t="str">
        <x:v>L-040</x:v>
      </x:c>
      <x:c r="B46" s="21" t="str">
        <x:v>Test automatique</x:v>
      </x:c>
      <x:c r="C46" s="21" t="str">
        <x:v>Réussi</x:v>
      </x:c>
      <x:c r="D46" s="21" t="str">
        <x:v>HUB-11</x:v>
      </x:c>
      <x:c r="E46" s="21" t="str">
        <x:v>Douze tests fonctionnels immersiveHubState réussis : conservation/restauration UI, exclusion des simulations et sauvegardes, exécution du vrai handler de lancement et de l’effet de catégorie, déplacement/restauration Cité, récompenses Extinction et comparaison de relique.</x:v>
      </x:c>
      <x:c r="F46" s="21" t="str">
        <x:v>Déclaration de résultat du ledger versionné ; consulter la commande et sa portée. Ne certifie pas une recette visuelle.</x:v>
      </x:c>
      <x:c r="G46" s="21" t="str"/>
      <x:c r="H46" s="21" t="str">
        <x:v>docs/ui-immersion/hub-implementation.json</x:v>
      </x:c>
    </x:row>
    <x:row r="47" ht="38" customHeight="1">
      <x:c r="A47" s="22" t="str">
        <x:v>L-041</x:v>
      </x:c>
      <x:c r="B47" s="22" t="str">
        <x:v>Test automatique</x:v>
      </x:c>
      <x:c r="C47" s="22" t="str">
        <x:v>Réussi</x:v>
      </x:c>
      <x:c r="D47" s="22" t="str">
        <x:v>HUB-11</x:v>
      </x:c>
      <x:c r="E47" s="22" t="str">
        <x:v>catalogPagination, ocCampaignUiProgress et mosaicCityRuntime réussis après ajout de la mémoire.</x:v>
      </x:c>
      <x:c r="F47" s="22" t="str">
        <x:v>Déclaration de résultat du ledger versionné ; consulter la commande et sa portée. Ne certifie pas une recette visuelle.</x:v>
      </x:c>
      <x:c r="G47" s="22" t="str"/>
      <x:c r="H47" s="22" t="str">
        <x:v>docs/ui-immersion/hub-implementation.json</x:v>
      </x:c>
    </x:row>
    <x:row r="48" ht="51" customHeight="1">
      <x:c r="A48" s="21" t="str">
        <x:v>L-042</x:v>
      </x:c>
      <x:c r="B48" s="21" t="str">
        <x:v>Test automatique</x:v>
      </x:c>
      <x:c r="C48" s="21" t="str">
        <x:v>Réussi</x:v>
      </x:c>
      <x:c r="D48" s="21" t="str">
        <x:v>HUB-12</x:v>
      </x:c>
      <x:c r="E48" s="21" t="str">
        <x:v>Douze tests immersiveHubState passent : ajout des bornes de mini-carte/radar pour 360×800, 844×390, 1366×768, échelles HUD 0,9 et 1,4, marge 32px ; exécution des vrais handlers clavier et du piège de focus pause.</x:v>
      </x:c>
      <x:c r="F48" s="21" t="str">
        <x:v>Déclaration de résultat du ledger versionné ; consulter la commande et sa portée. Ne certifie pas une recette visuelle.</x:v>
      </x:c>
      <x:c r="G48" s="21" t="str"/>
      <x:c r="H48" s="21" t="str">
        <x:v>docs/ui-immersion/hub-implementation.json</x:v>
      </x:c>
    </x:row>
    <x:row r="49" ht="38" customHeight="1">
      <x:c r="A49" s="22" t="str">
        <x:v>L-043</x:v>
      </x:c>
      <x:c r="B49" s="22" t="str">
        <x:v>Test automatique</x:v>
      </x:c>
      <x:c r="C49" s="22" t="str">
        <x:v>Déclaré</x:v>
      </x:c>
      <x:c r="D49" s="22" t="str">
        <x:v>HUB-12</x:v>
      </x:c>
      <x:c r="E49" s="22" t="str">
        <x:v>Sept suites ciblées après correction : immersiveHubState, extinctionTiming, mosaicCityRuntime, fixedStepClock, customBattle, shellImmersion et fighterRaceGameplayAudit.</x:v>
      </x:c>
      <x:c r="F49" s="22" t="str">
        <x:v>Déclaration de résultat du ledger versionné ; consulter la commande et sa portée. Ne certifie pas une recette visuelle.</x:v>
      </x:c>
      <x:c r="G49" s="22" t="str"/>
      <x:c r="H49" s="22" t="str">
        <x:v>docs/ui-immersion/hub-implementation.json</x:v>
      </x:c>
    </x:row>
    <x:row r="50" ht="38" customHeight="1">
      <x:c r="A50" s="21" t="str">
        <x:v>L-044</x:v>
      </x:c>
      <x:c r="B50" s="21" t="str">
        <x:v>Code / compilation</x:v>
      </x:c>
      <x:c r="C50" s="21" t="str">
        <x:v>Réussi</x:v>
      </x:c>
      <x:c r="D50" s="21" t="str">
        <x:v>HUB-12</x:v>
      </x:c>
      <x:c r="E50" s="21" t="str">
        <x:v>AST JSX validé après déplacement des deux quais, Oxlint sans avertissement et git diff --check réussi.</x:v>
      </x:c>
      <x:c r="F50" s="21" t="str">
        <x:v>Déclaration de résultat du ledger versionné ; consulter la commande et sa portée. Ne certifie pas une recette visuelle.</x:v>
      </x:c>
      <x:c r="G50" s="21" t="str"/>
      <x:c r="H50" s="21" t="str">
        <x:v>docs/ui-immersion/hub-implementation.json</x:v>
      </x:c>
    </x:row>
    <x:row r="51" ht="38" customHeight="1">
      <x:c r="A51" s="22" t="str">
        <x:v>L-045</x:v>
      </x:c>
      <x:c r="B51" s="22" t="str">
        <x:v>Test automatique</x:v>
      </x:c>
      <x:c r="C51" s="22" t="str">
        <x:v>Déclaré</x:v>
      </x:c>
      <x:c r="D51" s="22" t="str">
        <x:v>HUB-12</x:v>
      </x:c>
      <x:c r="E51" s="22" t="str">
        <x:v>Le test exécute le vrai raccourci Directive puis l’effet de changement de catégorie et confirme que mission et arc restent sélectionnés.</x:v>
      </x:c>
      <x:c r="F51" s="22" t="str">
        <x:v>Déclaration de résultat du ledger versionné ; consulter la commande et sa portée. Ne certifie pas une recette visuelle.</x:v>
      </x:c>
      <x:c r="G51" s="22" t="str"/>
      <x:c r="H51" s="22" t="str">
        <x:v>docs/ui-immersion/hub-implementation.json</x:v>
      </x:c>
    </x:row>
    <x:row r="52" ht="51" customHeight="1">
      <x:c r="A52" s="21" t="str">
        <x:v>L-046</x:v>
      </x:c>
      <x:c r="B52" s="21" t="str">
        <x:v>Test automatique</x:v>
      </x:c>
      <x:c r="C52" s="21" t="str">
        <x:v>Réussi</x:v>
      </x:c>
      <x:c r="D52" s="21" t="str">
        <x:v>HUB-12</x:v>
      </x:c>
      <x:c r="E52" s="21" t="str">
        <x:v>Gate test:noncombat-trials réussie : les huit fichiers de suites passent. Le contrat Extinction exécute son vrai snapshot (80/200, 0/200 après dégâts, 200/200 après sursoin), vérifie le lien DOM de la jauge et les dimensions/radar aux trois résolutions.</x:v>
      </x:c>
      <x:c r="F52" s="21" t="str">
        <x:v>Déclaration de résultat du ledger versionné ; consulter la commande et sa portée. Ne certifie pas une recette visuelle.</x:v>
      </x:c>
      <x:c r="G52" s="21" t="str"/>
      <x:c r="H52" s="21" t="str">
        <x:v>docs/ui-immersion/hub-implementation.json</x:v>
      </x:c>
    </x:row>
    <x:row r="53" ht="38" customHeight="1">
      <x:c r="A53" s="22" t="str">
        <x:v>L-047</x:v>
      </x:c>
      <x:c r="B53" s="22" t="str">
        <x:v>Test automatique</x:v>
      </x:c>
      <x:c r="C53" s="22" t="str">
        <x:v>Réussi</x:v>
      </x:c>
      <x:c r="D53" s="22" t="str">
        <x:v>COMBAT-01</x:v>
      </x:c>
      <x:c r="E53" s="22" t="str">
        <x:v>scripts/combatViewport.test.mjs : 10/10 réussis ; géométrie desktop, portrait, paysage, ultralarge, décalage, rejet des bandes de décor et contrat de résultat.</x:v>
      </x:c>
      <x:c r="F53" s="22" t="str">
        <x:v>Déclaration de résultat du ledger versionné ; consulter la commande et sa portée. Ne certifie pas une recette visuelle.</x:v>
      </x:c>
      <x:c r="G53" s="22" t="str"/>
      <x:c r="H53" s="22" t="str">
        <x:v>docs/ui-immersion/combat-implementation.json</x:v>
      </x:c>
    </x:row>
    <x:row r="54" ht="38" customHeight="1">
      <x:c r="A54" s="21" t="str">
        <x:v>L-048</x:v>
      </x:c>
      <x:c r="B54" s="21" t="str">
        <x:v>Code / compilation</x:v>
      </x:c>
      <x:c r="C54" s="21" t="str">
        <x:v>Déclaré</x:v>
      </x:c>
      <x:c r="D54" s="21" t="str">
        <x:v>COMBAT-01</x:v>
      </x:c>
      <x:c r="E54" s="21" t="str">
        <x:v>Les cinq composants de combat sont analysés par transformWithOxc de Vite.</x:v>
      </x:c>
      <x:c r="F54" s="21" t="str">
        <x:v>Déclaration de résultat du ledger versionné ; consulter la commande et sa portée. Ne certifie pas une recette visuelle.</x:v>
      </x:c>
      <x:c r="G54" s="21" t="str"/>
      <x:c r="H54" s="21" t="str">
        <x:v>docs/ui-immersion/combat-implementation.json</x:v>
      </x:c>
    </x:row>
    <x:row r="55" ht="38" customHeight="1">
      <x:c r="A55" s="22" t="str">
        <x:v>L-049</x:v>
      </x:c>
      <x:c r="B55" s="22" t="str">
        <x:v>Test auto / SSR</x:v>
      </x:c>
      <x:c r="C55" s="22" t="str">
        <x:v>Réussi</x:v>
      </x:c>
      <x:c r="D55" s="22" t="str">
        <x:v>COMBAT-02</x:v>
      </x:c>
      <x:c r="E55" s="22" t="str">
        <x:v>scripts/rpgTargetingPresentation.test.mjs : 2/2 réussis.</x:v>
      </x:c>
      <x:c r="F55" s="22" t="str">
        <x:v>Déclaration de résultat du ledger versionné ; consulter la commande et sa portée. Ne certifie pas une recette visuelle.</x:v>
      </x:c>
      <x:c r="G55" s="22" t="str"/>
      <x:c r="H55" s="22" t="str">
        <x:v>docs/ui-immersion/combat-implementation.json</x:v>
      </x:c>
    </x:row>
    <x:row r="56" ht="38" customHeight="1">
      <x:c r="A56" s="21" t="str">
        <x:v>L-050</x:v>
      </x:c>
      <x:c r="B56" s="21" t="str">
        <x:v>Test automatique</x:v>
      </x:c>
      <x:c r="C56" s="21" t="str">
        <x:v>Réussi</x:v>
      </x:c>
      <x:c r="D56" s="21" t="str">
        <x:v>COMBAT-02</x:v>
      </x:c>
      <x:c r="E56" s="21" t="str">
        <x:v>scripts/customBattle.test.mjs : 42/42 réussis, avec les routes réelles RPG/tactiques et les ordonnanceurs suspendus.</x:v>
      </x:c>
      <x:c r="F56" s="21" t="str">
        <x:v>Déclaration de résultat du ledger versionné ; consulter la commande et sa portée. Ne certifie pas une recette visuelle.</x:v>
      </x:c>
      <x:c r="G56" s="21" t="str"/>
      <x:c r="H56" s="21" t="str">
        <x:v>docs/ui-immersion/combat-implementation.json</x:v>
      </x:c>
    </x:row>
    <x:row r="57" ht="38" customHeight="1">
      <x:c r="A57" s="22" t="str">
        <x:v>L-051</x:v>
      </x:c>
      <x:c r="B57" s="22" t="str">
        <x:v>Test automatique</x:v>
      </x:c>
      <x:c r="C57" s="22" t="str">
        <x:v>Réussi</x:v>
      </x:c>
      <x:c r="D57" s="22" t="str">
        <x:v>COMBAT-02</x:v>
      </x:c>
      <x:c r="E57" s="22" t="str">
        <x:v>scripts/fixedStepClock.test.mjs : 10/10 réussis ; remise à zéro de l’horloge d’attente du ciblage RPG conservée.</x:v>
      </x:c>
      <x:c r="F57" s="22" t="str">
        <x:v>Déclaration de résultat du ledger versionné ; consulter la commande et sa portée. Ne certifie pas une recette visuelle.</x:v>
      </x:c>
      <x:c r="G57" s="22" t="str"/>
      <x:c r="H57" s="22" t="str">
        <x:v>docs/ui-immersion/combat-implementation.json</x:v>
      </x:c>
    </x:row>
    <x:row r="58" ht="38" customHeight="1">
      <x:c r="A58" s="21" t="str">
        <x:v>L-052</x:v>
      </x:c>
      <x:c r="B58" s="21" t="str">
        <x:v>Test automatique</x:v>
      </x:c>
      <x:c r="C58" s="21" t="str">
        <x:v>Réussi</x:v>
      </x:c>
      <x:c r="D58" s="21" t="str">
        <x:v>COMBAT-03</x:v>
      </x:c>
      <x:c r="E58" s="21" t="str">
        <x:v>Cas de géométrie tactique de scripts/combatViewport.test.mjs réussis.</x:v>
      </x:c>
      <x:c r="F58" s="21" t="str">
        <x:v>Déclaration de résultat du ledger versionné ; consulter la commande et sa portée. Ne certifie pas une recette visuelle.</x:v>
      </x:c>
      <x:c r="G58" s="21" t="str"/>
      <x:c r="H58" s="21" t="str">
        <x:v>docs/ui-immersion/combat-implementation.json</x:v>
      </x:c>
    </x:row>
    <x:row r="59" ht="38" customHeight="1">
      <x:c r="A59" s="22" t="str">
        <x:v>L-053</x:v>
      </x:c>
      <x:c r="B59" s="22" t="str">
        <x:v>Test automatique</x:v>
      </x:c>
      <x:c r="C59" s="22" t="str">
        <x:v>Réussi</x:v>
      </x:c>
      <x:c r="D59" s="22" t="str">
        <x:v>COMBAT-03</x:v>
      </x:c>
      <x:c r="E59" s="22" t="str">
        <x:v>Régressions des actions protégées et de la pause dans scripts/customBattle.test.mjs réussies.</x:v>
      </x:c>
      <x:c r="F59" s="22" t="str">
        <x:v>Déclaration de résultat du ledger versionné ; consulter la commande et sa portée. Ne certifie pas une recette visuelle.</x:v>
      </x:c>
      <x:c r="G59" s="22" t="str"/>
      <x:c r="H59" s="22" t="str">
        <x:v>docs/ui-immersion/combat-implementation.json</x:v>
      </x:c>
    </x:row>
    <x:row r="60" ht="38" customHeight="1">
      <x:c r="A60" s="21" t="str">
        <x:v>L-054</x:v>
      </x:c>
      <x:c r="B60" s="21" t="str">
        <x:v>Test automatique</x:v>
      </x:c>
      <x:c r="C60" s="21" t="str">
        <x:v>Réussi</x:v>
      </x:c>
      <x:c r="D60" s="21" t="str">
        <x:v>COMBAT-03</x:v>
      </x:c>
      <x:c r="E60" s="21" t="str">
        <x:v>Transitions pause/visibilité de l’horloge GameCanvas réussies.</x:v>
      </x:c>
      <x:c r="F60" s="21" t="str">
        <x:v>Déclaration de résultat du ledger versionné ; consulter la commande et sa portée. Ne certifie pas une recette visuelle.</x:v>
      </x:c>
      <x:c r="G60" s="21" t="str"/>
      <x:c r="H60" s="21" t="str">
        <x:v>docs/ui-immersion/combat-implementation.json</x:v>
      </x:c>
    </x:row>
    <x:row r="61" ht="38" customHeight="1">
      <x:c r="A61" s="22" t="str">
        <x:v>L-055</x:v>
      </x:c>
      <x:c r="B61" s="22" t="str">
        <x:v>Test automatique</x:v>
      </x:c>
      <x:c r="C61" s="22" t="str">
        <x:v>Réussi</x:v>
      </x:c>
      <x:c r="D61" s="22" t="str">
        <x:v>COMBAT-04</x:v>
      </x:c>
      <x:c r="E61" s="22" t="str">
        <x:v>scripts/meleeInputMap.test.mjs : 7/7 réussis, avec fusion des entrées et déclenchement unique des actions.</x:v>
      </x:c>
      <x:c r="F61" s="22" t="str">
        <x:v>Déclaration de résultat du ledger versionné ; consulter la commande et sa portée. Ne certifie pas une recette visuelle.</x:v>
      </x:c>
      <x:c r="G61" s="22" t="str"/>
      <x:c r="H61" s="22" t="str">
        <x:v>docs/ui-immersion/combat-implementation.json</x:v>
      </x:c>
    </x:row>
    <x:row r="62" ht="38" customHeight="1">
      <x:c r="A62" s="21" t="str">
        <x:v>L-056</x:v>
      </x:c>
      <x:c r="B62" s="21" t="str">
        <x:v>Test automatique</x:v>
      </x:c>
      <x:c r="C62" s="21" t="str">
        <x:v>Réussi</x:v>
      </x:c>
      <x:c r="D62" s="21" t="str">
        <x:v>COMBAT-04</x:v>
      </x:c>
      <x:c r="E62" s="21" t="str">
        <x:v>scripts/customBattle.test.mjs : 42/42 réussis, dont avant-match et verdict des objectifs.</x:v>
      </x:c>
      <x:c r="F62" s="21" t="str">
        <x:v>Déclaration de résultat du ledger versionné ; consulter la commande et sa portée. Ne certifie pas une recette visuelle.</x:v>
      </x:c>
      <x:c r="G62" s="21" t="str"/>
      <x:c r="H62" s="21" t="str">
        <x:v>docs/ui-immersion/combat-implementation.json</x:v>
      </x:c>
    </x:row>
    <x:row r="63" ht="38" customHeight="1">
      <x:c r="A63" s="22" t="str">
        <x:v>L-057</x:v>
      </x:c>
      <x:c r="B63" s="22" t="str">
        <x:v>Test automatique</x:v>
      </x:c>
      <x:c r="C63" s="22" t="str">
        <x:v>Déclaré</x:v>
      </x:c>
      <x:c r="D63" s="22" t="str">
        <x:v>COMBAT-04</x:v>
      </x:c>
      <x:c r="E63" s="22" t="str">
        <x:v>Les tests de pause et visibilité vérifient la libération des entrées et l’horloge sans remplacer le moteur.</x:v>
      </x:c>
      <x:c r="F63" s="22" t="str">
        <x:v>Déclaration de résultat du ledger versionné ; consulter la commande et sa portée. Ne certifie pas une recette visuelle.</x:v>
      </x:c>
      <x:c r="G63" s="22" t="str"/>
      <x:c r="H63" s="22" t="str">
        <x:v>docs/ui-immersion/combat-implementation.json</x:v>
      </x:c>
    </x:row>
    <x:row r="64" ht="38" customHeight="1">
      <x:c r="A64" s="21" t="str">
        <x:v>L-058</x:v>
      </x:c>
      <x:c r="B64" s="21" t="str">
        <x:v>Test automatique</x:v>
      </x:c>
      <x:c r="C64" s="21" t="str">
        <x:v>Réussi</x:v>
      </x:c>
      <x:c r="D64" s="21" t="str">
        <x:v>COMBAT-05</x:v>
      </x:c>
      <x:c r="E64" s="21" t="str">
        <x:v>scripts/reauditFighterTagRoutes.test.mjs : 16/16 réussis sur les callbacks réels et le moteur Fighter ; deux côtés, trois emplacements, pause, onglet caché et hit-stop.</x:v>
      </x:c>
      <x:c r="F64" s="21" t="str">
        <x:v>Déclaration de résultat du ledger versionné ; consulter la commande et sa portée. Ne certifie pas une recette visuelle.</x:v>
      </x:c>
      <x:c r="G64" s="21" t="str"/>
      <x:c r="H64" s="21" t="str">
        <x:v>docs/ui-immersion/combat-implementation.json</x:v>
      </x:c>
    </x:row>
    <x:row r="65" ht="38" customHeight="1">
      <x:c r="A65" s="22" t="str">
        <x:v>L-059</x:v>
      </x:c>
      <x:c r="B65" s="22" t="str">
        <x:v>Test automatique</x:v>
      </x:c>
      <x:c r="C65" s="22" t="str">
        <x:v>Réussi</x:v>
      </x:c>
      <x:c r="D65" s="22" t="str">
        <x:v>COMBAT-05</x:v>
      </x:c>
      <x:c r="E65" s="22" t="str">
        <x:v>Tests de remise à zéro d’horloge Fighter après pause et changement de visibilité réussis.</x:v>
      </x:c>
      <x:c r="F65" s="22" t="str">
        <x:v>Déclaration de résultat du ledger versionné ; consulter la commande et sa portée. Ne certifie pas une recette visuelle.</x:v>
      </x:c>
      <x:c r="G65" s="22" t="str"/>
      <x:c r="H65" s="22" t="str">
        <x:v>docs/ui-immersion/combat-implementation.json</x:v>
      </x:c>
    </x:row>
    <x:row r="66" ht="38" customHeight="1">
      <x:c r="A66" s="21" t="str">
        <x:v>L-060</x:v>
      </x:c>
      <x:c r="B66" s="21" t="str">
        <x:v>Code / compilation</x:v>
      </x:c>
      <x:c r="C66" s="21" t="str">
        <x:v>Réussi</x:v>
      </x:c>
      <x:c r="D66" s="21" t="str">
        <x:v>COMBAT-05</x:v>
      </x:c>
      <x:c r="E66" s="21" t="str">
        <x:v>Compilation JSX Fighter réussie.</x:v>
      </x:c>
      <x:c r="F66" s="21" t="str">
        <x:v>Déclaration de résultat du ledger versionné ; consulter la commande et sa portée. Ne certifie pas une recette visuelle.</x:v>
      </x:c>
      <x:c r="G66" s="21" t="str"/>
      <x:c r="H66" s="21" t="str">
        <x:v>docs/ui-immersion/combat-implementation.json</x:v>
      </x:c>
    </x:row>
    <x:row r="67" ht="38" customHeight="1">
      <x:c r="A67" s="22" t="str">
        <x:v>L-061</x:v>
      </x:c>
      <x:c r="B67" s="22" t="str">
        <x:v>Test automatique</x:v>
      </x:c>
      <x:c r="C67" s="22" t="str">
        <x:v>Déclaré</x:v>
      </x:c>
      <x:c r="D67" s="22" t="str">
        <x:v>COMBAT-06</x:v>
      </x:c>
      <x:c r="E67" s="22" t="str">
        <x:v>Les tests de garde du résultat rejettent un verdict prématuré, un résultat invalide, le repli tardif, la double validation et la finalisation après abandon.</x:v>
      </x:c>
      <x:c r="F67" s="22" t="str">
        <x:v>Déclaration de résultat du ledger versionné ; consulter la commande et sa portée. Ne certifie pas une recette visuelle.</x:v>
      </x:c>
      <x:c r="G67" s="22" t="str"/>
      <x:c r="H67" s="22" t="str">
        <x:v>docs/ui-immersion/combat-implementation.json</x:v>
      </x:c>
    </x:row>
    <x:row r="68" ht="38" customHeight="1">
      <x:c r="A68" s="21" t="str">
        <x:v>L-062</x:v>
      </x:c>
      <x:c r="B68" s="21" t="str">
        <x:v>Test automatique</x:v>
      </x:c>
      <x:c r="C68" s="21" t="str">
        <x:v>Réussi</x:v>
      </x:c>
      <x:c r="D68" s="21" t="str">
        <x:v>COMBAT-06</x:v>
      </x:c>
      <x:c r="E68" s="21" t="str">
        <x:v>scripts/customBattle.test.mjs : 42/42 réussis ; entrée de pause et garde partagée vérifiées.</x:v>
      </x:c>
      <x:c r="F68" s="21" t="str">
        <x:v>Déclaration de résultat du ledger versionné ; consulter la commande et sa portée. Ne certifie pas une recette visuelle.</x:v>
      </x:c>
      <x:c r="G68" s="21" t="str"/>
      <x:c r="H68" s="21" t="str">
        <x:v>docs/ui-immersion/combat-implementation.json</x:v>
      </x:c>
    </x:row>
    <x:row r="69" ht="38" customHeight="1">
      <x:c r="A69" s="22" t="str">
        <x:v>L-063</x:v>
      </x:c>
      <x:c r="B69" s="22" t="str">
        <x:v>Test automatique</x:v>
      </x:c>
      <x:c r="C69" s="22" t="str">
        <x:v>Réussi</x:v>
      </x:c>
      <x:c r="D69" s="22" t="str">
        <x:v>COMBAT-06</x:v>
      </x:c>
      <x:c r="E69" s="22" t="str">
        <x:v>scripts/fixedStepClock.test.mjs : 10/10 réussis.</x:v>
      </x:c>
      <x:c r="F69" s="22" t="str">
        <x:v>Déclaration de résultat du ledger versionné ; consulter la commande et sa portée. Ne certifie pas une recette visuelle.</x:v>
      </x:c>
      <x:c r="G69" s="22" t="str"/>
      <x:c r="H69" s="22" t="str">
        <x:v>docs/ui-immersion/combat-implementation.json</x:v>
      </x:c>
    </x:row>
    <x:row r="70" ht="38" customHeight="1">
      <x:c r="A70" s="21" t="str">
        <x:v>L-064</x:v>
      </x:c>
      <x:c r="B70" s="21" t="str">
        <x:v>Code / compilation</x:v>
      </x:c>
      <x:c r="C70" s="21" t="str">
        <x:v>Réussi</x:v>
      </x:c>
      <x:c r="D70" s="21" t="str">
        <x:v>COMBAT-07</x:v>
      </x:c>
      <x:c r="E70" s="21" t="str">
        <x:v>Analyse JSX de GameCanvas, FighterMode, MeleeControlsPanel, CombatDrawer et CombatResultDialog réussie.</x:v>
      </x:c>
      <x:c r="F70" s="21" t="str">
        <x:v>Déclaration de résultat du ledger versionné ; consulter la commande et sa portée. Ne certifie pas une recette visuelle.</x:v>
      </x:c>
      <x:c r="G70" s="21" t="str"/>
      <x:c r="H70" s="21" t="str">
        <x:v>docs/ui-immersion/combat-implementation.json</x:v>
      </x:c>
    </x:row>
    <x:row r="71" ht="38" customHeight="1">
      <x:c r="A71" s="22" t="str">
        <x:v>L-065</x:v>
      </x:c>
      <x:c r="B71" s="22" t="str">
        <x:v>Test automatique</x:v>
      </x:c>
      <x:c r="C71" s="22" t="str">
        <x:v>Réussi</x:v>
      </x:c>
      <x:c r="D71" s="22" t="str">
        <x:v>COMBAT-07</x:v>
      </x:c>
      <x:c r="E71" s="22" t="str">
        <x:v>87 vérifications ciblées réussies : géométrie/résultat, horloge fixe, ciblage, tags Fighter, commandes mêlée et combat Custom.</x:v>
      </x:c>
      <x:c r="F71" s="22" t="str">
        <x:v>Déclaration de résultat du ledger versionné ; consulter la commande et sa portée. Ne certifie pas une recette visuelle.</x:v>
      </x:c>
      <x:c r="G71" s="22" t="str"/>
      <x:c r="H71" s="22" t="str">
        <x:v>docs/ui-immersion/combat-implementation.json</x:v>
      </x:c>
    </x:row>
    <x:row r="72" ht="51" customHeight="1">
      <x:c r="A72" s="21" t="str">
        <x:v>L-066</x:v>
      </x:c>
      <x:c r="B72" s="21" t="str">
        <x:v>Code / compilation</x:v>
      </x:c>
      <x:c r="C72" s="21" t="str">
        <x:v>Déclaré</x:v>
      </x:c>
      <x:c r="D72" s="21" t="str">
        <x:v>COMBAT-08</x:v>
      </x:c>
      <x:c r="E72" s="21" t="str">
        <x:v>Comparaison AST des assertions Python, attentes Playwright et attentes de simulation avec e2c03dd : les 195 obligations des neuf recettes existantes sont conservées. Une assertion de limites tactiles en portrait a été ajoutée.</x:v>
      </x:c>
      <x:c r="F72" s="21" t="str">
        <x:v>Déclaration de résultat du ledger versionné ; consulter la commande et sa portée. Ne certifie pas une recette visuelle.</x:v>
      </x:c>
      <x:c r="G72" s="21" t="str"/>
      <x:c r="H72" s="21" t="str">
        <x:v>docs/ui-immersion/combat-implementation.json</x:v>
      </x:c>
    </x:row>
    <x:row r="73" ht="38" customHeight="1">
      <x:c r="A73" s="22" t="str">
        <x:v>L-067</x:v>
      </x:c>
      <x:c r="B73" s="22" t="str">
        <x:v>Code / compilation</x:v>
      </x:c>
      <x:c r="C73" s="22" t="str">
        <x:v>Réussi</x:v>
      </x:c>
      <x:c r="D73" s="22" t="str">
        <x:v>COMBAT-08</x:v>
      </x:c>
      <x:c r="E73" s="22" t="str">
        <x:v>Python py_compile réussi pour les helpers et recettes de signature, RPG, Tactics et authentification.</x:v>
      </x:c>
      <x:c r="F73" s="22" t="str">
        <x:v>Déclaration de résultat du ledger versionné ; consulter la commande et sa portée. Ne certifie pas une recette visuelle.</x:v>
      </x:c>
      <x:c r="G73" s="22" t="str"/>
      <x:c r="H73" s="22" t="str">
        <x:v>docs/ui-immersion/combat-implementation.json</x:v>
      </x:c>
    </x:row>
    <x:row r="74" ht="38" customHeight="1">
      <x:c r="A74" s="21" t="str">
        <x:v>L-068</x:v>
      </x:c>
      <x:c r="B74" s="21" t="str">
        <x:v>Code / compilation</x:v>
      </x:c>
      <x:c r="C74" s="21" t="str">
        <x:v>Réussi</x:v>
      </x:c>
      <x:c r="D74" s="21" t="str">
        <x:v>COMBAT-08</x:v>
      </x:c>
      <x:c r="E74" s="21" t="str">
        <x:v>Les dix fixtures JSX ont été transformées par Vite transformWithOxc ; Oxlint et git diff --check réussis.</x:v>
      </x:c>
      <x:c r="F74" s="21" t="str">
        <x:v>Déclaration de résultat du ledger versionné ; consulter la commande et sa portée. Ne certifie pas une recette visuelle.</x:v>
      </x:c>
      <x:c r="G74" s="21" t="str"/>
      <x:c r="H74" s="21" t="str">
        <x:v>docs/ui-immersion/combat-implementation.json</x:v>
      </x:c>
    </x:row>
    <x:row r="75" ht="51" customHeight="1">
      <x:c r="A75" s="22" t="str">
        <x:v>L-069</x:v>
      </x:c>
      <x:c r="B75" s="22" t="str">
        <x:v>Test automatique</x:v>
      </x:c>
      <x:c r="C75" s="22" t="str">
        <x:v>Déclaré</x:v>
      </x:c>
      <x:c r="D75" s="22" t="str">
        <x:v>COMBAT-08</x:v>
      </x:c>
      <x:c r="E75" s="22" t="str">
        <x:v>Aucun nouveau clic forcé ni déclenchement JavaScript ajouté. Les régressions de double clic existantes restent inchangées ; la navigation ajoutée utilise les clics réguliers des locators Playwright.</x:v>
      </x:c>
      <x:c r="F75" s="22" t="str">
        <x:v>Déclaration de résultat du ledger versionné ; consulter la commande et sa portée. Ne certifie pas une recette visuelle.</x:v>
      </x:c>
      <x:c r="G75" s="22" t="str"/>
      <x:c r="H75" s="22" t="str">
        <x:v>docs/ui-immersion/combat-implementation.json</x:v>
      </x:c>
    </x:row>
    <x:row r="76" ht="38" customHeight="1">
      <x:c r="A76" s="21" t="str">
        <x:v>L-070</x:v>
      </x:c>
      <x:c r="B76" s="21" t="str">
        <x:v>Test automatique</x:v>
      </x:c>
      <x:c r="C76" s="21" t="str">
        <x:v>Déclaré</x:v>
      </x:c>
      <x:c r="D76" s="21" t="str">
        <x:v>COMBAT-08</x:v>
      </x:c>
      <x:c r="E76" s="21" t="str">
        <x:v>Captures CI synthétiques initiales examinées en desktop et portrait : le ratio conserve les acteurs visibles, avec des marges de décor sur écran haut.</x:v>
      </x:c>
      <x:c r="F76" s="21" t="str">
        <x:v>Déclaration de résultat du ledger versionné ; consulter la commande et sa portée. Ne certifie pas une recette visuelle.</x:v>
      </x:c>
      <x:c r="G76" s="21" t="str"/>
      <x:c r="H76" s="21" t="str">
        <x:v>docs/ui-immersion/combat-implementation.json</x:v>
      </x:c>
    </x:row>
    <x:row r="77" ht="38" customHeight="1">
      <x:c r="A77" s="22" t="str">
        <x:v>L-071</x:v>
      </x:c>
      <x:c r="B77" s="22" t="str">
        <x:v>Test automatique</x:v>
      </x:c>
      <x:c r="C77" s="22" t="str">
        <x:v>Déclaré</x:v>
      </x:c>
      <x:c r="D77" s="22" t="str">
        <x:v>APP-01</x:v>
      </x:c>
      <x:c r="E77" s="22" t="str">
        <x:v>5 tests gameSystemImmersion incluent stockage, valeurs bornées et secours en cas de stockage indisponible.</x:v>
      </x:c>
      <x:c r="F77" s="22" t="str">
        <x:v>Déclaration de résultat du ledger versionné ; consulter la commande et sa portée. Ne certifie pas une recette visuelle.</x:v>
      </x:c>
      <x:c r="G77" s="22" t="str"/>
      <x:c r="H77" s="22" t="str">
        <x:v>docs/ui-immersion/app-implementation.json</x:v>
      </x:c>
    </x:row>
    <x:row r="78" ht="38" customHeight="1">
      <x:c r="A78" s="21" t="str">
        <x:v>L-072</x:v>
      </x:c>
      <x:c r="B78" s="21" t="str">
        <x:v>Test automatique</x:v>
      </x:c>
      <x:c r="C78" s="21" t="str">
        <x:v>Déclaré</x:v>
      </x:c>
      <x:c r="D78" s="21" t="str">
        <x:v>APP-02</x:v>
      </x:c>
      <x:c r="E78" s="21" t="str">
        <x:v>Test de sérialisation des décisions et rejet des confirmations périmées.</x:v>
      </x:c>
      <x:c r="F78" s="21" t="str">
        <x:v>Déclaration de résultat du ledger versionné ; consulter la commande et sa portée. Ne certifie pas une recette visuelle.</x:v>
      </x:c>
      <x:c r="G78" s="21" t="str"/>
      <x:c r="H78" s="21" t="str">
        <x:v>docs/ui-immersion/app-implementation.json</x:v>
      </x:c>
    </x:row>
    <x:row r="79" ht="38" customHeight="1">
      <x:c r="A79" s="22" t="str">
        <x:v>L-073</x:v>
      </x:c>
      <x:c r="B79" s="22" t="str">
        <x:v>Test automatique</x:v>
      </x:c>
      <x:c r="C79" s="22" t="str">
        <x:v>Déclaré</x:v>
      </x:c>
      <x:c r="D79" s="22" t="str">
        <x:v>APP-02</x:v>
      </x:c>
      <x:c r="E79" s="22" t="str">
        <x:v>Tests des fenêtres imbriquées dans shellImmersion.</x:v>
      </x:c>
      <x:c r="F79" s="22" t="str">
        <x:v>Déclaration de résultat du ledger versionné ; consulter la commande et sa portée. Ne certifie pas une recette visuelle.</x:v>
      </x:c>
      <x:c r="G79" s="22" t="str"/>
      <x:c r="H79" s="22" t="str">
        <x:v>docs/ui-immersion/app-implementation.json</x:v>
      </x:c>
    </x:row>
    <x:row r="80" ht="38" customHeight="1">
      <x:c r="A80" s="21" t="str">
        <x:v>L-074</x:v>
      </x:c>
      <x:c r="B80" s="21" t="str">
        <x:v>Test automatique</x:v>
      </x:c>
      <x:c r="C80" s="21" t="str">
        <x:v>Réussi</x:v>
      </x:c>
      <x:c r="D80" s="21" t="str">
        <x:v>APP-03</x:v>
      </x:c>
      <x:c r="E80" s="21" t="str">
        <x:v>19 tests cloudReconciliationRace passent, dont 5 nouveaux scénarios de décisions retardées.</x:v>
      </x:c>
      <x:c r="F80" s="21" t="str">
        <x:v>Déclaration de résultat du ledger versionné ; consulter la commande et sa portée. Ne certifie pas une recette visuelle.</x:v>
      </x:c>
      <x:c r="G80" s="21" t="str"/>
      <x:c r="H80" s="21" t="str">
        <x:v>docs/ui-immersion/app-implementation.json</x:v>
      </x:c>
    </x:row>
    <x:row r="81" ht="38" customHeight="1">
      <x:c r="A81" s="22" t="str">
        <x:v>L-075</x:v>
      </x:c>
      <x:c r="B81" s="22" t="str">
        <x:v>Code / compilation</x:v>
      </x:c>
      <x:c r="C81" s="22" t="str">
        <x:v>Réussi</x:v>
      </x:c>
      <x:c r="D81" s="22" t="str">
        <x:v>APP-04</x:v>
      </x:c>
      <x:c r="E81" s="22" t="str">
        <x:v>Compilation Vite et lint ciblé passent.</x:v>
      </x:c>
      <x:c r="F81" s="22" t="str">
        <x:v>Déclaration de résultat du ledger versionné ; consulter la commande et sa portée. Ne certifie pas une recette visuelle.</x:v>
      </x:c>
      <x:c r="G81" s="22" t="str"/>
      <x:c r="H81" s="22" t="str">
        <x:v>docs/ui-immersion/app-implementation.json</x:v>
      </x:c>
    </x:row>
    <x:row r="82" ht="38" customHeight="1">
      <x:c r="A82" s="21" t="str">
        <x:v>L-076</x:v>
      </x:c>
      <x:c r="B82" s="21" t="str">
        <x:v>Test automatique</x:v>
      </x:c>
      <x:c r="C82" s="21" t="str">
        <x:v>Déclaré</x:v>
      </x:c>
      <x:c r="D82" s="21" t="str">
        <x:v>APP-04</x:v>
      </x:c>
      <x:c r="E82" s="21" t="str">
        <x:v>Horloge des moteurs couverte par fixedStepClock.</x:v>
      </x:c>
      <x:c r="F82" s="21" t="str">
        <x:v>Déclaration de résultat du ledger versionné ; consulter la commande et sa portée. Ne certifie pas une recette visuelle.</x:v>
      </x:c>
      <x:c r="G82" s="21" t="str"/>
      <x:c r="H82" s="21" t="str">
        <x:v>docs/ui-immersion/app-implementation.json</x:v>
      </x:c>
    </x:row>
    <x:row r="83" ht="38" customHeight="1">
      <x:c r="A83" s="22" t="str">
        <x:v>L-077</x:v>
      </x:c>
      <x:c r="B83" s="22" t="str">
        <x:v>Test automatique</x:v>
      </x:c>
      <x:c r="C83" s="22" t="str">
        <x:v>Déclaré</x:v>
      </x:c>
      <x:c r="D83" s="22" t="str">
        <x:v>APP-05</x:v>
      </x:c>
      <x:c r="E83" s="22" t="str">
        <x:v>Test victoire répétée, repli après victoire, ancien callback après relancement et invalidation.</x:v>
      </x:c>
      <x:c r="F83" s="22" t="str">
        <x:v>Déclaration de résultat du ledger versionné ; consulter la commande et sa portée. Ne certifie pas une recette visuelle.</x:v>
      </x:c>
      <x:c r="G83" s="22" t="str"/>
      <x:c r="H83" s="22" t="str">
        <x:v>docs/ui-immersion/app-implementation.json</x:v>
      </x:c>
    </x:row>
    <x:row r="84" ht="38" customHeight="1">
      <x:c r="A84" s="21" t="str">
        <x:v>L-078</x:v>
      </x:c>
      <x:c r="B84" s="21" t="str">
        <x:v>Code / compilation</x:v>
      </x:c>
      <x:c r="C84" s="21" t="str">
        <x:v>Déclaré</x:v>
      </x:c>
      <x:c r="D84" s="21" t="str">
        <x:v>APP-06</x:v>
      </x:c>
      <x:c r="E84" s="21" t="str">
        <x:v>Compilation Vite ; contrats de récompenses/campagne existants à recontrôler globalement.</x:v>
      </x:c>
      <x:c r="F84" s="21" t="str">
        <x:v>Déclaration de résultat du ledger versionné ; consulter la commande et sa portée. Ne certifie pas une recette visuelle.</x:v>
      </x:c>
      <x:c r="G84" s="21" t="str"/>
      <x:c r="H84" s="21" t="str">
        <x:v>docs/ui-immersion/app-implementation.json</x:v>
      </x:c>
    </x:row>
    <x:row r="85" ht="38" customHeight="1">
      <x:c r="A85" s="22" t="str">
        <x:v>L-079</x:v>
      </x:c>
      <x:c r="B85" s="22" t="str">
        <x:v>Code / compilation</x:v>
      </x:c>
      <x:c r="C85" s="22" t="str">
        <x:v>Déclaré</x:v>
      </x:c>
      <x:c r="D85" s="22" t="str">
        <x:v>APP-07</x:v>
      </x:c>
      <x:c r="E85" s="22" t="str">
        <x:v>Compilation Vite ; frontières d’erreur existantes conservées.</x:v>
      </x:c>
      <x:c r="F85" s="22" t="str">
        <x:v>Déclaration de résultat du ledger versionné ; consulter la commande et sa portée. Ne certifie pas une recette visuelle.</x:v>
      </x:c>
      <x:c r="G85" s="22" t="str"/>
      <x:c r="H85" s="22" t="str">
        <x:v>docs/ui-immersion/app-implementation.json</x:v>
      </x:c>
    </x:row>
    <x:row r="86" ht="38" customHeight="1">
      <x:c r="A86" s="21" t="str">
        <x:v>L-080</x:v>
      </x:c>
      <x:c r="B86" s="21" t="str">
        <x:v>Code / compilation</x:v>
      </x:c>
      <x:c r="C86" s="21" t="str">
        <x:v>Réussi</x:v>
      </x:c>
      <x:c r="D86" s="21" t="str">
        <x:v>APP-08</x:v>
      </x:c>
      <x:c r="E86" s="21" t="str">
        <x:v>Compilation des sources réussie avec Vite 8.1.0 / Node 24.22.1.</x:v>
      </x:c>
      <x:c r="F86" s="21" t="str">
        <x:v>Déclaration de résultat du ledger versionné ; consulter la commande et sa portée. Ne certifie pas une recette visuelle.</x:v>
      </x:c>
      <x:c r="G86" s="21" t="str"/>
      <x:c r="H86" s="21" t="str">
        <x:v>docs/ui-immersion/app-implementation.json</x:v>
      </x:c>
    </x:row>
    <x:row r="87" ht="38" customHeight="1">
      <x:c r="A87" s="22" t="str">
        <x:v>L-081</x:v>
      </x:c>
      <x:c r="B87" s="22" t="str">
        <x:v>Test automatique</x:v>
      </x:c>
      <x:c r="C87" s="22" t="str">
        <x:v>Déclaré</x:v>
      </x:c>
      <x:c r="D87" s="22" t="str">
        <x:v>APP-08</x:v>
      </x:c>
      <x:c r="E87" s="22" t="str">
        <x:v>Suites de régression globales en cours.</x:v>
      </x:c>
      <x:c r="F87" s="22" t="str">
        <x:v>Déclaration de résultat du ledger versionné ; consulter la commande et sa portée. Ne certifie pas une recette visuelle.</x:v>
      </x:c>
      <x:c r="G87" s="22" t="str"/>
      <x:c r="H87" s="22" t="str">
        <x:v>docs/ui-immersion/app-implementation.json</x:v>
      </x:c>
    </x:row>
    <x:row r="88" ht="51" customHeight="1">
      <x:c r="A88" s="21" t="str">
        <x:v>BUILD-SOURCE</x:v>
      </x:c>
      <x:c r="B88" s="21" t="str">
        <x:v>Compilation</x:v>
      </x:c>
      <x:c r="C88" s="21" t="str">
        <x:v>Réussi</x:v>
      </x:c>
      <x:c r="D88" s="21" t="str"/>
      <x:c r="E88" s="21" t="str">
        <x:v>npm exec vite build
Compilation des 302 modules réussie. Avertissements de taille sur les blocs de données et le Hub ; aucun échec.</x:v>
      </x:c>
      <x:c r="F88" s="21" t="str">
        <x:v>["La compilation locale porte sur le code et les manifestes ; les contrôles complets des médias restent exécutés par le prebuild distant."]
Résultat automatique : ne remplace pas la recette en appareil.</x:v>
      </x:c>
      <x:c r="G88" s="21" t="str">
        <x:v>docs/ui-immersion/evidence/source-build.log</x:v>
      </x:c>
      <x:c r="H88" s="21" t="str">
        <x:v>docs/ui-immersion/validation.json</x:v>
      </x:c>
    </x:row>
    <x:row r="89" ht="38" customHeight="1">
      <x:c r="A89" s="22" t="str">
        <x:v>LINT</x:v>
      </x:c>
      <x:c r="B89" s="22" t="str">
        <x:v>Analyse statique</x:v>
      </x:c>
      <x:c r="C89" s="22" t="str">
        <x:v>Réussi</x:v>
      </x:c>
      <x:c r="D89" s="22" t="str"/>
      <x:c r="E89" s="22" t="str">
        <x:v>node node_modules/oxlint/bin/oxlint --max-warnings 0 &lt;modules modifiés&gt;
Aucun avertissement sur les modules modifiés ; vérification finale avant publication.</x:v>
      </x:c>
      <x:c r="F89" s="22" t="str">
        <x:v>[]
Résultat automatique : ne remplace pas la recette en appareil.</x:v>
      </x:c>
      <x:c r="G89" s="22" t="str">
        <x:v>docs/ui-immersion/evidence/lint.log</x:v>
      </x:c>
      <x:c r="H89" s="22" t="str">
        <x:v>docs/ui-immersion/validation.json</x:v>
      </x:c>
    </x:row>
    <x:row r="90" ht="51" customHeight="1">
      <x:c r="A90" s="21" t="str">
        <x:v>LOCAL-UI</x:v>
      </x:c>
      <x:c r="B90" s="21" t="str">
        <x:v>Tests automatiques</x:v>
      </x:c>
      <x:c r="C90" s="21" t="str">
        <x:v>Réussi</x:v>
      </x:c>
      <x:c r="D90" s="21" t="str">
        <x:v>APP-01, APP-02, APP-05, COMBAT-01, COMBAT-05, HUB-03, HUB-11</x:v>
      </x:c>
      <x:c r="E90" s="21" t="str">
        <x:v>npm run test:ui-immersion
Six fichiers de suites : géométrie, verdict unique, paramètres, décisions modales, recettes Extinction, retour Cité, navigation, filtres, focus et rendu SSR. Rejoués après corrections.</x:v>
      </x:c>
      <x:c r="F90" s="21" t="str">
        <x:v>[]
Résultat automatique : ne remplace pas la recette en appareil.</x:v>
      </x:c>
      <x:c r="G90" s="21" t="str">
        <x:v>docs/ui-immersion/evidence/ui-immersion.log</x:v>
      </x:c>
      <x:c r="H90" s="21" t="str">
        <x:v>docs/ui-immersion/validation.json</x:v>
      </x:c>
    </x:row>
    <x:row r="91" ht="51" customHeight="1">
      <x:c r="A91" s="22" t="str">
        <x:v>LOCAL-RELIABILITY</x:v>
      </x:c>
      <x:c r="B91" s="22" t="str">
        <x:v>Tests automatiques</x:v>
      </x:c>
      <x:c r="C91" s="22" t="str">
        <x:v>Réussi</x:v>
      </x:c>
      <x:c r="D91" s="22" t="str">
        <x:v>APP-03, APP-05</x:v>
      </x:c>
      <x:c r="E91" s="22" t="str">
        <x:v>npm run test:audit-reliability
93 tests réussis, dont 19 scénarios de réconciliation cloud. Le test de fuseaux horaires a été exécuté avec ses sous-processus Node autorisés.</x:v>
      </x:c>
      <x:c r="F91" s="22" t="str">
        <x:v>[]
Résultat automatique : ne remplace pas la recette en appareil.</x:v>
      </x:c>
      <x:c r="G91" s="22" t="str">
        <x:v>docs/ui-immersion/evidence/reliability-final.log</x:v>
      </x:c>
      <x:c r="H91" s="22" t="str">
        <x:v>docs/ui-immersion/validation.json</x:v>
      </x:c>
    </x:row>
    <x:row r="92" ht="51" customHeight="1">
      <x:c r="A92" s="21" t="str">
        <x:v>LOCAL-IMPORT</x:v>
      </x:c>
      <x:c r="B92" s="21" t="str">
        <x:v>Tests automatiques</x:v>
      </x:c>
      <x:c r="C92" s="21" t="str">
        <x:v>Réussi</x:v>
      </x:c>
      <x:c r="D92" s="21" t="str">
        <x:v>APP-02, APP-03</x:v>
      </x:c>
      <x:c r="E92" s="21" t="str">
        <x:v>node scripts/auditFollowupRegressions.test.mjs
26 cas réussis. Inclut une connexion terminant pendant la saisie d’un import : l’envoi cloud reste suspendu après adoption locale.</x:v>
      </x:c>
      <x:c r="F92" s="21" t="str">
        <x:v>[]
Résultat automatique : ne remplace pas la recette en appareil.</x:v>
      </x:c>
      <x:c r="G92" s="21" t="str">
        <x:v>docs/ui-immersion/evidence/followup-final.log</x:v>
      </x:c>
      <x:c r="H92" s="21" t="str">
        <x:v>docs/ui-immersion/validation.json</x:v>
      </x:c>
    </x:row>
    <x:row r="93" ht="51" customHeight="1">
      <x:c r="A93" s="22" t="str">
        <x:v>LOCAL-REAUDIT</x:v>
      </x:c>
      <x:c r="B93" s="22" t="str">
        <x:v>Tests automatiques</x:v>
      </x:c>
      <x:c r="C93" s="22" t="str">
        <x:v>Réussi</x:v>
      </x:c>
      <x:c r="D93" s="22" t="str"/>
      <x:c r="E93" s="22" t="str">
        <x:v>npm run test:reaudit
21 fichiers de suites réussis : actions, soins, interruptions, éliminations, signatures Fighter, scènes source, réglages de costumes et horloges.</x:v>
      </x:c>
      <x:c r="F93" s="22" t="str">
        <x:v>[]
Résultat automatique : ne remplace pas la recette en appareil.</x:v>
      </x:c>
      <x:c r="G93" s="22" t="str">
        <x:v>docs/ui-immersion/evidence/reaudit.log</x:v>
      </x:c>
      <x:c r="H93" s="22" t="str">
        <x:v>docs/ui-immersion/validation.json</x:v>
      </x:c>
    </x:row>
    <x:row r="94" ht="64" customHeight="1">
      <x:c r="A94" s="21" t="str">
        <x:v>LOCAL-CONVERSATION</x:v>
      </x:c>
      <x:c r="B94" s="21" t="str">
        <x:v>Tests automatiques</x:v>
      </x:c>
      <x:c r="C94" s="21" t="str">
        <x:v>Réussi</x:v>
      </x:c>
      <x:c r="D94" s="21" t="str"/>
      <x:c r="E94" s="21" t="str">
        <x:v>npm run test:conversation
55 fichiers de suites réussis après récupération des seuls médias nécessaires. Contrats existants du prologue, de la Cité, du ciblage, des escortes, de l’album, des récompenses et des sources canoniques.</x:v>
      </x:c>
      <x:c r="F94" s="21" t="str">
        <x:v>[]
Résultat automatique : ne remplace pas la recette en appareil.</x:v>
      </x:c>
      <x:c r="G94" s="21" t="str">
        <x:v>docs/ui-immersion/evidence/conversation-final.log</x:v>
      </x:c>
      <x:c r="H94" s="21" t="str">
        <x:v>docs/ui-immersion/validation.json</x:v>
      </x:c>
    </x:row>
    <x:row r="95" ht="51" customHeight="1">
      <x:c r="A95" s="22" t="str">
        <x:v>LOCAL-RPG-TACTICS</x:v>
      </x:c>
      <x:c r="B95" s="22" t="str">
        <x:v>Tests automatiques</x:v>
      </x:c>
      <x:c r="C95" s="22" t="str">
        <x:v>Réussi</x:v>
      </x:c>
      <x:c r="D95" s="22" t="str"/>
      <x:c r="E95" s="22" t="str">
        <x:v>npm run test:audit-combat ; npm run test:audit-tactics
2 fichiers RPG et 3 fichiers tactiques réussis : cycle de vie, consommation des artefacts, soutien et fiabilité.</x:v>
      </x:c>
      <x:c r="F95" s="22" t="str">
        <x:v>[]
Résultat automatique : ne remplace pas la recette en appareil.</x:v>
      </x:c>
      <x:c r="G95" s="22" t="str">
        <x:v>docs/ui-immersion/evidence/combat.log
docs/ui-immersion/evidence/tactics.log</x:v>
      </x:c>
      <x:c r="H95" s="22" t="str">
        <x:v>docs/ui-immersion/validation.json</x:v>
      </x:c>
    </x:row>
    <x:row r="96" ht="51" customHeight="1">
      <x:c r="A96" s="21" t="str">
        <x:v>LOCAL-POLISH</x:v>
      </x:c>
      <x:c r="B96" s="21" t="str">
        <x:v>Tests automatiques</x:v>
      </x:c>
      <x:c r="C96" s="21" t="str">
        <x:v>Réussi</x:v>
      </x:c>
      <x:c r="D96" s="21" t="str"/>
      <x:c r="E96" s="21" t="str">
        <x:v>npm run test:polish
9 fichiers de suites réussis : audio, gestes, titre, carrière de course, événements et progression.</x:v>
      </x:c>
      <x:c r="F96" s="21" t="str">
        <x:v>[]
Résultat automatique : ne remplace pas la recette en appareil.</x:v>
      </x:c>
      <x:c r="G96" s="21" t="str">
        <x:v>docs/ui-immersion/evidence/polish.log</x:v>
      </x:c>
      <x:c r="H96" s="21" t="str">
        <x:v>docs/ui-immersion/validation.json</x:v>
      </x:c>
    </x:row>
    <x:row r="97" ht="51" customHeight="1">
      <x:c r="A97" s="22" t="str">
        <x:v>CI1-CONTRACTS</x:v>
      </x:c>
      <x:c r="B97" s="22" t="str">
        <x:v>CI distante — historique</x:v>
      </x:c>
      <x:c r="C97" s="22" t="str">
        <x:v>Réussi</x:v>
      </x:c>
      <x:c r="D97" s="22" t="str"/>
      <x:c r="E97" s="22" t="str">
        <x:v>Reliability and source build — e2c03dd
Contrats, nouveaux tests UI, réaudit, lint et compilation réussis sur la première publication. Étape navigateur traitée séparément.</x:v>
      </x:c>
      <x:c r="F97" s="22" t="str">
        <x:v>[]
Résultat automatique : ne remplace pas la recette en appareil.</x:v>
      </x:c>
      <x:c r="G97" s="22" t="str">
        <x:v>https://github.com/darknigthmare/multiverse-breach/actions/runs/40222983228</x:v>
      </x:c>
      <x:c r="H97" s="22" t="str">
        <x:v>docs/ui-immersion/validation.json</x:v>
      </x:c>
    </x:row>
    <x:row r="98" ht="64" customHeight="1">
      <x:c r="A98" s="21" t="str">
        <x:v>CI1-NAVIGATION</x:v>
      </x:c>
      <x:c r="B98" s="21" t="str">
        <x:v>CI distante — historique</x:v>
      </x:c>
      <x:c r="C98" s="21" t="str">
        <x:v>Échec</x:v>
      </x:c>
      <x:c r="D98" s="21" t="str"/>
      <x:c r="E98" s="21" t="str">
        <x:v>browserAuditFollowup.py ; browserSignatureCombat.py — e2c03dd
Première exécution : scénarios encore dirigés vers Compte et Invocation sans ouvrir leurs nouveaux menus. Les parcours ont été adaptés via les vrais boutons, avec conservation des 195 assertions et attentes existantes.</x:v>
      </x:c>
      <x:c r="F98" s="21" t="str">
        <x:v>[]
Résultat automatique : ne remplace pas la recette en appareil.</x:v>
      </x:c>
      <x:c r="G98" s="21" t="str">
        <x:v>https://github.com/darknigthmare/multiverse-breach/actions/runs/40222983093
https://github.com/darknigthmare/multiverse-breach/actions/runs/40222983228</x:v>
      </x:c>
      <x:c r="H98" s="21" t="str">
        <x:v>docs/ui-immersion/validation.json</x:v>
      </x:c>
    </x:row>
    <x:row r="99" ht="64" customHeight="1">
      <x:c r="A99" s="22" t="str">
        <x:v>PREVIEW1-BUILD</x:v>
      </x:c>
      <x:c r="B99" s="22" t="str">
        <x:v>Prébuild distant — historique</x:v>
      </x:c>
      <x:c r="C99" s="22" t="str">
        <x:v>Échec</x:v>
      </x:c>
      <x:c r="D99" s="22" t="str"/>
      <x:c r="E99" s="22" t="str">
        <x:v>npm run build — e2c03dd
Le prebuild a détecté la perte de la jauge et des PV maximum lors du déplacement du HUD Extinction. Jauge native et texte courant/max rétablis, tests fonctionnels et les 8 suites noncombat désormais verts.</x:v>
      </x:c>
      <x:c r="F99" s="22" t="str">
        <x:v>[]
Résultat automatique : ne remplace pas la recette en appareil.</x:v>
      </x:c>
      <x:c r="G99" s="22" t="str">
        <x:v>https://vercel.com/darknigthmares-projects/multiverse-breach/GBFrWfbz1ug1g5GdWLiw46MYUFBw</x:v>
      </x:c>
      <x:c r="H99" s="22" t="str">
        <x:v>docs/ui-immersion/validation.json</x:v>
      </x:c>
    </x:row>
    <x:row r="100" ht="51" customHeight="1">
      <x:c r="A100" s="21" t="str">
        <x:v>CI-92A8E247</x:v>
      </x:c>
      <x:c r="B100" s="21" t="str">
        <x:v>CI distante — référence</x:v>
      </x:c>
      <x:c r="C100" s="21" t="str">
        <x:v>Réussis</x:v>
      </x:c>
      <x:c r="D100" s="21" t="str">
        <x:v>PR #9 avant reprise</x:v>
      </x:c>
      <x:c r="E100" s="21" t="str">
        <x:v>Trois workflows réussis : Reliability and source build ; Signature combat ; Full production build.</x:v>
      </x:c>
      <x:c r="F100" s="21" t="str">
        <x:v>Commit 92a8e247a4b1bb296676aa17ea5b9c7e0bbd4dc6. Ne prouve pas à lui seul les modifications ultérieures.</x:v>
      </x:c>
      <x:c r="G100" s="21" t="str">
        <x:v>https://github.com/darknigthmare/multiverse-breach/actions/runs/40229637237</x:v>
      </x:c>
      <x:c r="H100" s="21" t="str">
        <x:v>GitHub Actions ; runs 40229637237, 40229637284, 40229637338</x:v>
      </x:c>
    </x:row>
    <x:row r="101" ht="51" customHeight="1">
      <x:c r="A101" s="22" t="str">
        <x:v>VISUAL-CURRENT</x:v>
      </x:c>
      <x:c r="B101" s="22" t="str">
        <x:v>Navigateur — branche</x:v>
      </x:c>
      <x:c r="C101" s="22" t="str">
        <x:v>Non réalisé</x:v>
      </x:c>
      <x:c r="D101" s="22" t="str"/>
      <x:c r="E101" s="22" t="str">
        <x:v>Recette du jeu sur preview Vercel
Recette de la nouvelle branche avec ses médias en attente du build. Les captures synthétiques de la CI ne sont pas assimilées à la recette du jeu.</x:v>
      </x:c>
      <x:c r="F101" s="22" t="str">
        <x:v>["Manette physique, multitouch réel, synchronisation cloud avec un vrai compte et progression exhaustive non exécutés."]
Observation limitée aux écrans, états, dimensions et entrées décrits.</x:v>
      </x:c>
      <x:c r="G101" s="22" t="str"/>
      <x:c r="H101" s="22" t="str">
        <x:v>docs/ui-immersion/validation.json</x:v>
      </x:c>
    </x:row>
    <x:row r="102" ht="38" customHeight="1">
      <x:c r="A102" s="21" t="str">
        <x:v>R-01</x:v>
      </x:c>
      <x:c r="B102" s="21" t="str">
        <x:v>Recette appareil</x:v>
      </x:c>
      <x:c r="C102" s="21" t="str">
        <x:v>Non réalisé</x:v>
      </x:c>
      <x:c r="D102" s="21" t="str">
        <x:v>Recette finale</x:v>
      </x:c>
      <x:c r="E102" s="21" t="str">
        <x:v>Mobile réel, orientation et multitouch</x:v>
      </x:c>
      <x:c r="F102" s="21" t="str">
        <x:v>Les calculs de géométrie ne prouvent pas le confort réel du tactile.</x:v>
      </x:c>
      <x:c r="G102" s="21" t="str"/>
      <x:c r="H102" s="21" t="str">
        <x:v>Plan de recette — audit initial et limites des ledgers</x:v>
      </x:c>
    </x:row>
    <x:row r="103" ht="38" customHeight="1">
      <x:c r="A103" s="22" t="str">
        <x:v>R-02</x:v>
      </x:c>
      <x:c r="B103" s="22" t="str">
        <x:v>Recette appareil</x:v>
      </x:c>
      <x:c r="C103" s="22" t="str">
        <x:v>Non réalisé</x:v>
      </x:c>
      <x:c r="D103" s="22" t="str">
        <x:v>Recette finale</x:v>
      </x:c>
      <x:c r="E103" s="22" t="str">
        <x:v>Manette physique et P2 local</x:v>
      </x:c>
      <x:c r="F103" s="22" t="str">
        <x:v>Les tests de fusion des entrées ne remplacent pas un périphérique réel.</x:v>
      </x:c>
      <x:c r="G103" s="22" t="str"/>
      <x:c r="H103" s="22" t="str">
        <x:v>Plan de recette — audit initial et limites des ledgers</x:v>
      </x:c>
    </x:row>
    <x:row r="104" ht="38" customHeight="1">
      <x:c r="A104" s="21" t="str">
        <x:v>R-03</x:v>
      </x:c>
      <x:c r="B104" s="21" t="str">
        <x:v>Parcours complet</x:v>
      </x:c>
      <x:c r="C104" s="21" t="str">
        <x:v>Non réalisé</x:v>
      </x:c>
      <x:c r="D104" s="21" t="str">
        <x:v>Recette finale</x:v>
      </x:c>
      <x:c r="E104" s="21" t="str">
        <x:v>Victoire complète, attribution unique et rechargement de sauvegarde</x:v>
      </x:c>
      <x:c r="F104" s="21" t="str">
        <x:v>Les P0 disposent de tests de callbacks / gardes ; le parcours joué doit être vérifié séparément.</x:v>
      </x:c>
      <x:c r="G104" s="21" t="str"/>
      <x:c r="H104" s="21" t="str">
        <x:v>Plan de recette — audit initial et limites des ledgers</x:v>
      </x:c>
    </x:row>
    <x:row r="105" ht="38" customHeight="1">
      <x:c r="A105" s="22" t="str">
        <x:v>R-04</x:v>
      </x:c>
      <x:c r="B105" s="22" t="str">
        <x:v>Service externe</x:v>
      </x:c>
      <x:c r="C105" s="22" t="str">
        <x:v>Non réalisé</x:v>
      </x:c>
      <x:c r="D105" s="22" t="str">
        <x:v>Recette finale</x:v>
      </x:c>
      <x:c r="E105" s="22" t="str">
        <x:v>Synchronisation cloud et compte sur réseau réel</x:v>
      </x:c>
      <x:c r="F105" s="22" t="str">
        <x:v>Les courses asynchrones sont testées automatiquement ; aucune connexion cloud réelle n’est déduite.</x:v>
      </x:c>
      <x:c r="G105" s="22" t="str"/>
      <x:c r="H105" s="22" t="str">
        <x:v>Plan de recette — audit initial et limites des ledgers</x:v>
      </x:c>
    </x:row>
    <x:row r="106" ht="38" customHeight="1">
      <x:c r="A106" s="21" t="str">
        <x:v>R-05</x:v>
      </x:c>
      <x:c r="B106" s="21" t="str">
        <x:v>Économie / parcours</x:v>
      </x:c>
      <x:c r="C106" s="21" t="str">
        <x:v>Non réalisé</x:v>
      </x:c>
      <x:c r="D106" s="21" t="str">
        <x:v>Recette finale</x:v>
      </x:c>
      <x:c r="E106" s="21" t="str">
        <x:v>Achat de booster, cinq révélations et fermeture / reprise</x:v>
      </x:c>
      <x:c r="F106" s="21" t="str">
        <x:v>Moteur économique couvert par tests ; opération de bout en bout en preview à documenter.</x:v>
      </x:c>
      <x:c r="G106" s="21" t="str"/>
      <x:c r="H106" s="21" t="str">
        <x:v>Plan de recette — audit initial et limites des ledgers</x:v>
      </x:c>
    </x:row>
    <x:row r="107" ht="92" customHeight="1">
      <x:c r="A107" t="str">
        <x:v>REPRISE-UI</x:v>
      </x:c>
      <x:c r="B107" t="str">
        <x:v>Tests automatiques</x:v>
      </x:c>
      <x:c r="C107" t="str">
        <x:v>Réussis</x:v>
      </x:c>
      <x:c r="D107" t="str">
        <x:v>COMBAT-05, COMBAT-06, APP-08</x:v>
      </x:c>
      <x:c r="E107" t="str">
        <x:v>npm run test:ui-immersion — 68/68, dont 9 nouveaux tests de cycle des dialogues.</x:v>
      </x:c>
      <x:c r="F107" t="str">
        <x:v>Tests unitaires et contrats ; pas une recette jouée complète.</x:v>
      </x:c>
      <x:c r="G107" t="str">
        <x:v>https://github.com/darknigthmare/multiverse-breach/actions/runs/40268408942</x:v>
      </x:c>
      <x:c r="H107" t="str">
        <x:v>ui-tests.log</x:v>
      </x:c>
    </x:row>
    <x:row r="108" ht="92" customHeight="1">
      <x:c r="A108" t="str">
        <x:v>REPRISE-FIGHTER</x:v>
      </x:c>
      <x:c r="B108" t="str">
        <x:v>Tests automatiques</x:v>
      </x:c>
      <x:c r="C108" t="str">
        <x:v>Réussis</x:v>
      </x:c>
      <x:c r="D108" t="str">
        <x:v>COMBAT-05</x:v>
      </x:c>
      <x:c r="E108" t="str">
        <x:v>node --test scripts/fixedStepClock.test.mjs scripts/reauditFighterInputs.test.mjs — 40/40.</x:v>
      </x:c>
      <x:c r="F108" t="str">
        <x:v>Horloge, commandes et cycle ; distinct des huit scénarios navigateur.</x:v>
      </x:c>
      <x:c r="G108" t="str">
        <x:v>https://github.com/darknigthmare/multiverse-breach/actions/runs/40268408942</x:v>
      </x:c>
      <x:c r="H108" t="str">
        <x:v>fighter-tests.log</x:v>
      </x:c>
    </x:row>
    <x:row r="109" ht="92" customHeight="1">
      <x:c r="A109" t="str">
        <x:v>REPRISE-LINT</x:v>
      </x:c>
      <x:c r="B109" t="str">
        <x:v>Analyse statique</x:v>
      </x:c>
      <x:c r="C109" t="str">
        <x:v>Réussis</x:v>
      </x:c>
      <x:c r="D109" t="str">
        <x:v>6 modules/tests modifiés</x:v>
      </x:c>
      <x:c r="E109" t="str">
        <x:v>oxlint --max-warnings 0 — zéro erreur et zéro avertissement.</x:v>
      </x:c>
      <x:c r="F109" t="str">
        <x:v>N’analyse pas toutes les ressources du jeu.</x:v>
      </x:c>
      <x:c r="G109" t="str">
        <x:v>https://github.com/darknigthmare/multiverse-breach/actions/runs/40268408942</x:v>
      </x:c>
      <x:c r="H109" t="str">
        <x:v>lint.log</x:v>
      </x:c>
    </x:row>
    <x:row r="110" ht="92" customHeight="1">
      <x:c r="A110" t="str">
        <x:v>REPRISE-BUILD</x:v>
      </x:c>
      <x:c r="B110" t="str">
        <x:v>Compilation source</x:v>
      </x:c>
      <x:c r="C110" t="str">
        <x:v>Réussis</x:v>
      </x:c>
      <x:c r="D110" t="str">
        <x:v>Reprise UI</x:v>
      </x:c>
      <x:c r="E110" t="str">
        <x:v>Vite build sur snapshot source : réussite.</x:v>
      </x:c>
      <x:c r="F110" t="str">
        <x:v>Médias absents du snapshot ; avertissement de taille de chunk existant. Pas un build complet des médias.</x:v>
      </x:c>
      <x:c r="G110" t="str">
        <x:v>https://github.com/darknigthmare/multiverse-breach/actions/runs/40268408942</x:v>
      </x:c>
      <x:c r="H110" t="str">
        <x:v>source-build.log</x:v>
      </x:c>
    </x:row>
    <x:row r="111" ht="92" customHeight="1">
      <x:c r="A111" t="str">
        <x:v>REPRISE-BROWSER-1</x:v>
      </x:c>
      <x:c r="B111" t="str">
        <x:v>Navigateur synthétique — historique</x:v>
      </x:c>
      <x:c r="C111" t="str">
        <x:v>Partiel</x:v>
      </x:c>
      <x:c r="D111" t="str">
        <x:v>COMBAT-05, COMBAT-06</x:v>
      </x:c>
      <x:c r="E111" t="str">
        <x:v>4/8 scénarios réussis. Les quatre dialogues passent ; les quatre Fighter s’arrêtent au sélecteur exact des sliders.</x:v>
      </x:c>
      <x:c r="F111" t="str">
        <x:v>Pas d’erreur JavaScript relevée. Sélecteurs corrigés et sliders manipulés au clavier dans la nouvelle recette.</x:v>
      </x:c>
      <x:c r="G111" t="str">
        <x:v>https://github.com/darknigthmare/multiverse-breach/actions/runs/40267867939</x:v>
      </x:c>
      <x:c r="H111" t="str">
        <x:v>transitions/results.json</x:v>
      </x:c>
    </x:row>
    <x:row r="112" ht="92" customHeight="1">
      <x:c r="A112" t="str">
        <x:v>REPRISE-BROWSER-2</x:v>
      </x:c>
      <x:c r="B112" t="str">
        <x:v>Navigateur synthétique</x:v>
      </x:c>
      <x:c r="C112" t="str">
        <x:v>Réussis</x:v>
      </x:c>
      <x:c r="D112" t="str">
        <x:v>Fighter et CombatDrawer</x:v>
      </x:c>
      <x:c r="E112" t="str">
        <x:v>8/8 scénarios réussis : Fighter + CombatDrawer, en 1280×900 FR, 390×844 EN, 844×390 FR et 2560×1080 EN. Pause, changements parent, réglages, bilan, revanche, modalité native et focus.</x:v>
      </x:c>
      <x:c r="F112" t="str">
        <x:v>Régression de comportement sur vrais composants ; sans certification des médias, du cloud ou des périphériques physiques.</x:v>
      </x:c>
      <x:c r="G112" t="str">
        <x:v>https://github.com/darknigthmare/multiverse-breach/actions/runs/40268408942</x:v>
      </x:c>
      <x:c r="H112" t="str">
        <x:v>scripts/browserImmersiveTransitions.py</x:v>
      </x:c>
    </x:row>
    <x:row r="113" ht="92" customHeight="1">
      <x:c r="A113" t="str">
        <x:v>REPRISE-FIGHTER-EXISTANT</x:v>
      </x:c>
      <x:c r="B113" t="str">
        <x:v>Navigateur synthétique</x:v>
      </x:c>
      <x:c r="C113" t="str">
        <x:v>Réussis</x:v>
      </x:c>
      <x:c r="D113" t="str">
        <x:v>Fighter existant</x:v>
      </x:c>
      <x:c r="E113" t="str">
        <x:v>6/6 scénarios Fighter existants : commandes J1/J2/IA, cycle du combat et deux erreurs injectées volontairement.</x:v>
      </x:c>
      <x:c r="F113" t="str">
        <x:v>Exécution courante séparée des résultats unitaires ; aucune suppression de garde.</x:v>
      </x:c>
      <x:c r="G113" t="str">
        <x:v>https://github.com/darknigthmare/multiverse-breach/actions/runs/40268408942</x:v>
      </x:c>
      <x:c r="H113" t="str">
        <x:v>scripts/browserFighterLifecycle.py</x:v>
      </x:c>
    </x:row>
    <x:row r="114" ht="92" customHeight="1">
      <x:c r="A114" t="str">
        <x:v>REPRISE-ENV</x:v>
      </x:c>
      <x:c r="B114" t="str">
        <x:v>Environnement local</x:v>
      </x:c>
      <x:c r="C114" t="str">
        <x:v>Bloqués</x:v>
      </x:c>
      <x:c r="D114" t="str">
        <x:v>Navigation locale</x:v>
      </x:c>
      <x:c r="E114" t="str">
        <x:v>Chromium local : ERR_BLOCKED_BY_ADMINISTRATOR ; recette déplacée vers le workflow GitHub.</x:v>
      </x:c>
      <x:c r="F114" t="str">
        <x:v>Restriction d’environnement, pas un défaut du jeu. Aucune protection désactivée.</x:v>
      </x:c>
      <x:c r="G114"/>
      <x:c r="H114" t="str">
        <x:v>pr9-browser-transitions.log</x:v>
      </x:c>
    </x:row>
    <x:row r="115" ht="104" customHeight="1">
      <x:c r="A115" s="50" t="str">
        <x:v>COURSE-BASE-FIABILITE</x:v>
      </x:c>
      <x:c r="B115" s="50" t="str">
        <x:v>CI historique sur d45652f</x:v>
      </x:c>
      <x:c r="C115" s="50" t="str">
        <x:v>Réussis</x:v>
      </x:c>
      <x:c r="D115" s="50" t="str">
        <x:v>Fiabilité / UI antérieure</x:v>
      </x:c>
      <x:c r="E115" s="50" t="str">
        <x:v>Workflow Reliability and source build terminé avec succès.</x:v>
      </x:c>
      <x:c r="F115" s="50" t="str">
        <x:v>Contrôle du commit précédent, pas preuve du nouveau patch Course.</x:v>
      </x:c>
      <x:c r="G115" s="50" t="str">
        <x:v>https://github.com/darknigthmare/multiverse-breach/actions/runs/40269423554</x:v>
      </x:c>
      <x:c r="H115" s="50" t="str">
        <x:v>GitHub Actions</x:v>
      </x:c>
    </x:row>
    <x:row r="116" ht="104" customHeight="1">
      <x:c r="A116" s="50" t="str">
        <x:v>COURSE-BASE-SIGNATURES</x:v>
      </x:c>
      <x:c r="B116" s="50" t="str">
        <x:v>CI historique sur d45652f</x:v>
      </x:c>
      <x:c r="C116" s="50" t="str">
        <x:v>Réussis</x:v>
      </x:c>
      <x:c r="D116" s="50" t="str">
        <x:v>Signatures de combat</x:v>
      </x:c>
      <x:c r="E116" s="50" t="str">
        <x:v>Workflow Signature combat terminé avec succès.</x:v>
      </x:c>
      <x:c r="F116" s="50" t="str">
        <x:v>Contrôle du commit précédent, pas preuve du nouveau patch Course.</x:v>
      </x:c>
      <x:c r="G116" s="50" t="str">
        <x:v>https://github.com/darknigthmare/multiverse-breach/actions/runs/40269423464</x:v>
      </x:c>
      <x:c r="H116" s="50" t="str">
        <x:v>GitHub Actions</x:v>
      </x:c>
    </x:row>
    <x:row r="117" ht="104" customHeight="1">
      <x:c r="A117" s="50" t="str">
        <x:v>COURSE-BASE-BUILD</x:v>
      </x:c>
      <x:c r="B117" s="50" t="str">
        <x:v>CI historique sur d45652f</x:v>
      </x:c>
      <x:c r="C117" s="50" t="str">
        <x:v>Réussis</x:v>
      </x:c>
      <x:c r="D117" s="50" t="str">
        <x:v>Build complet</x:v>
      </x:c>
      <x:c r="E117" s="50" t="str">
        <x:v>Workflow Full production build terminé avec succès.</x:v>
      </x:c>
      <x:c r="F117" s="50" t="str">
        <x:v>N’est pas une promotion en production ; ne valide pas artistiquement les 40 écrans.</x:v>
      </x:c>
      <x:c r="G117" s="50" t="str">
        <x:v>https://github.com/darknigthmare/multiverse-breach/actions/runs/40269423586</x:v>
      </x:c>
      <x:c r="H117" s="50" t="str">
        <x:v>GitHub Actions</x:v>
      </x:c>
    </x:row>
    <x:row r="118" ht="104" customHeight="1">
      <x:c r="A118" s="50" t="str">
        <x:v>COURSE-REPRO</x:v>
      </x:c>
      <x:c r="B118" s="50" t="str">
        <x:v>Régression reproduite puis corrigée</x:v>
      </x:c>
      <x:c r="C118" s="50" t="str">
        <x:v>Réussis</x:v>
      </x:c>
      <x:c r="D118" s="50" t="str">
        <x:v>HUB-06 / écrans 17–19</x:v>
      </x:c>
      <x:c r="E118" s="50" t="str">
        <x:v>Avant : moteur 0 → 1 après rendu parent → 2 après achat. Après : même moteur, temps/tour/position conservés.</x:v>
      </x:c>
      <x:c r="F118" s="50" t="str">
        <x:v>Fixture réelle RaceMode/EngineRace avec carrière préparée ; 300 pièces initiales.</x:v>
      </x:c>
      <x:c r="G118" s="50" t="str">
        <x:v>https://github.com/darknigthmare/multiverse-breach/blob/codex/immersive-ui-audit-2026-10-25/docs/ui-immersion/race-continuation-2026-10-26.json</x:v>
      </x:c>
      <x:c r="H118" s="50" t="str">
        <x:v>before/reproduction.json ; after-reproduction.json</x:v>
      </x:c>
    </x:row>
    <x:row r="119" ht="104" customHeight="1">
      <x:c r="A119" s="50" t="str">
        <x:v>COURSE-UNIT</x:v>
      </x:c>
      <x:c r="B119" s="50" t="str">
        <x:v>Tests automatiques</x:v>
      </x:c>
      <x:c r="C119" s="50" t="str">
        <x:v>Réussis</x:v>
      </x:c>
      <x:c r="D119" s="50" t="str">
        <x:v>HUB-06 / entrées, carrière, horloge</x:v>
      </x:c>
      <x:c r="E119" s="50" t="str">
        <x:v>40/40 tests, dont 9 nouveaux : réception unique, session périmée, indépendance des pointeurs et du clavier.</x:v>
      </x:c>
      <x:c r="F119" s="50" t="str">
        <x:v>Cas de simulation ; ne remplace pas un périphérique physique.</x:v>
      </x:c>
      <x:c r="G119" s="50" t="str">
        <x:v>https://github.com/darknigthmare/multiverse-breach/blob/codex/immersive-ui-audit-2026-10-25/docs/ui-immersion/race-continuation-2026-10-26.json</x:v>
      </x:c>
      <x:c r="H119" s="50" t="str">
        <x:v>unit-final.log ; scripts/raceSessionControls.test.mjs</x:v>
      </x:c>
    </x:row>
    <x:row r="120" ht="104" customHeight="1">
      <x:c r="A120" s="50" t="str">
        <x:v>COURSE-BROWSER</x:v>
      </x:c>
      <x:c r="B120" s="50" t="str">
        <x:v>Navigateur isolé hors ligne</x:v>
      </x:c>
      <x:c r="C120" s="50" t="str">
        <x:v>Réussis</x:v>
      </x:c>
      <x:c r="D120" s="50" t="str">
        <x:v>Course / quatre formats / FR–EN</x:v>
      </x:c>
      <x:c r="E120" s="50" t="str">
        <x:v>6/6 : garage, pause, rendu parent, pointeur hors bouton, activation clavier, bilan unique, revanche, démontage et deux erreurs de rendu injectées.</x:v>
      </x:c>
      <x:c r="F120" s="50" t="str">
        <x:v>IIFE/CSS sur about:blank, stockage en mémoire, données préparées ; aucun média validé localement.</x:v>
      </x:c>
      <x:c r="G120" s="50" t="str">
        <x:v>https://github.com/darknigthmare/multiverse-breach/blob/codex/immersive-ui-audit-2026-10-25/docs/ui-immersion/race-continuation-2026-10-26.json</x:v>
      </x:c>
      <x:c r="H120" s="50" t="str">
        <x:v>scripts/browserRaceImmersion.py ; browser-final/results.json</x:v>
      </x:c>
    </x:row>
    <x:row r="121" ht="104" customHeight="1">
      <x:c r="A121" s="50" t="str">
        <x:v>COURSE-LINT</x:v>
      </x:c>
      <x:c r="B121" s="50" t="str">
        <x:v>Analyse statique</x:v>
      </x:c>
      <x:c r="C121" s="50" t="str">
        <x:v>Réussis</x:v>
      </x:c>
      <x:c r="D121" s="50" t="str">
        <x:v>Six modules/tests modifiés</x:v>
      </x:c>
      <x:c r="E121" s="50" t="str">
        <x:v>Oxlint --max-warnings 0 : zéro erreur et zéro avertissement.</x:v>
      </x:c>
      <x:c r="F121" s="50" t="str">
        <x:v>Pas une analyse de tous les médias ni de toute la base.</x:v>
      </x:c>
      <x:c r="G121" s="50" t="str">
        <x:v>https://github.com/darknigthmare/multiverse-breach/blob/codex/immersive-ui-audit-2026-10-25/docs/ui-immersion/race-continuation-2026-10-26.json</x:v>
      </x:c>
      <x:c r="H121" s="50" t="str">
        <x:v>lint-final.log</x:v>
      </x:c>
    </x:row>
    <x:row r="122" ht="104" customHeight="1">
      <x:c r="A122" s="50" t="str">
        <x:v>COURSE-HUD</x:v>
      </x:c>
      <x:c r="B122" s="50" t="str">
        <x:v>Inspection de captures isolées</x:v>
      </x:c>
      <x:c r="C122" s="50" t="str">
        <x:v>Partiel</x:v>
      </x:c>
      <x:c r="D122" s="50" t="str">
        <x:v>Portrait et paysage court</x:v>
      </x:c>
      <x:c r="E122" s="50" t="str">
        <x:v>Télémétrie portrait visible à 390×844, échelle HUD 1,2 ; résultat et actions accessibles à 844×390.</x:v>
      </x:c>
      <x:c r="F122" s="50" t="str">
        <x:v>Rendu sans images, pas une recette artistique. Les libellés moteur non localisés restent à reprendre.</x:v>
      </x:c>
      <x:c r="G122" s="50" t="str">
        <x:v>https://github.com/darknigthmare/multiverse-breach/blob/codex/immersive-ui-audit-2026-10-25/docs/ui-immersion/race-continuation-2026-10-26.json</x:v>
      </x:c>
      <x:c r="H122" s="50" t="str">
        <x:v>browser-final/*-race.png ; *-result.png</x:v>
      </x:c>
    </x:row>
    <x:row r="123" ht="104" customHeight="1">
      <x:c r="A123" s="50" t="str">
        <x:v>COURSE-CI</x:v>
      </x:c>
      <x:c r="B123" s="50" t="str">
        <x:v>Automatisation ajoutée</x:v>
      </x:c>
      <x:c r="C123" s="50" t="str">
        <x:v>Déclarés</x:v>
      </x:c>
      <x:c r="D123" s="50" t="str">
        <x:v>Nouveau workflow Race immersive UI</x:v>
      </x:c>
      <x:c r="E123" s="50" t="str">
        <x:v>Exécute les 40 tests et 6 parcours avec --require-art ; exige le chargement des sept images du moteur.</x:v>
      </x:c>
      <x:c r="F123" s="50" t="str">
        <x:v>État à la préparation du classeur : non exécuté sur le commit final. Résultat courant à consulter dans Checks.</x:v>
      </x:c>
      <x:c r="G123" s="50" t="str">
        <x:v>https://github.com/darknigthmare/multiverse-breach/pull/9/checks</x:v>
      </x:c>
      <x:c r="H123" s="50" t="str">
        <x:v>.github/workflows/race-ui.yml</x:v>
      </x:c>
    </x:row>
    <x:row r="124" ht="104" customHeight="1">
      <x:c r="A124" s="50" t="str">
        <x:v>COURSE-LIMITES</x:v>
      </x:c>
      <x:c r="B124" s="50" t="str">
        <x:v>Recette restant à réaliser</x:v>
      </x:c>
      <x:c r="C124" s="50" t="str">
        <x:v>Non réalisés</x:v>
      </x:c>
      <x:c r="D124" s="50" t="str">
        <x:v>Matériel / progression / 40 écrans</x:v>
      </x:c>
      <x:c r="E124" s="50" t="str">
        <x:v>Manette physique, multitouch réel, vrai compte cloud, parcours de chaque circuit et recette artistique globale.</x:v>
      </x:c>
      <x:c r="F124" s="50" t="str">
        <x:v>Ne sont pas marqués terminés par les suites automatisées.</x:v>
      </x:c>
      <x:c r="G124" s="50" t="str">
        <x:v>https://github.com/darknigthmare/multiverse-breach/blob/codex/immersive-ui-audit-2026-10-25/docs/ui-immersion/race-continuation-2026-10-26.json</x:v>
      </x:c>
      <x:c r="H124" s="50" t="str">
        <x:v>Périmètre de livraison</x:v>
      </x:c>
    </x:row>
  </x:sheetData>
  <x:conditionalFormatting sqref="C7:C106">
    <x:cfRule type="cellIs" dxfId="19" priority="1" operator="equal">
      <x:formula>"Partiel"</x:formula>
    </x:cfRule>
    <x:cfRule type="cellIs" dxfId="20" priority="2" operator="equal">
      <x:formula>"Partiels"</x:formula>
    </x:cfRule>
    <x:cfRule type="cellIs" dxfId="21" priority="3" operator="equal">
      <x:formula>"À traiter"</x:formula>
    </x:cfRule>
    <x:cfRule type="cellIs" dxfId="22" priority="4" operator="equal">
      <x:formula>"À préciser"</x:formula>
    </x:cfRule>
    <x:cfRule type="cellIs" dxfId="23" priority="5" operator="equal">
      <x:formula>"Bloqués"</x:formula>
    </x:cfRule>
    <x:cfRule type="cellIs" dxfId="24" priority="6" operator="equal">
      <x:formula>"Échec"</x:formula>
    </x:cfRule>
  </x:conditionalFormatting>
  <x:dataValidations count="1">
    <x:dataValidation type="list" sqref="C115:C124">
      <x:formula1>"Réussis,Partiel,Échec,Bloqués,Déclarés,Non réalisés"</x:formula1>
    </x:dataValidation>
  </x:dataValidations>
  <x:pageMargins left="0.7" right="0.7" top="0.75" bottom="0.75" header="0.3" footer="0.3"/>
  <x:tableParts count="1">
    <x:tablePart xmlns:r="http://schemas.openxmlformats.org/officeDocument/2006/relationships" r:id="R7c8a79faed344ad3"/>
  </x:tableParts>
</x:worksheet>
</file>